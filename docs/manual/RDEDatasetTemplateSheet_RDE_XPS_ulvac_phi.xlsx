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XPS/template/ulvac_phi/"/>
    </mc:Choice>
  </mc:AlternateContent>
  <xr:revisionPtr revIDLastSave="0" documentId="13_ncr:1_{D140F6F1-492F-5342-B3D7-60A97A003F9B}" xr6:coauthVersionLast="47" xr6:coauthVersionMax="47" xr10:uidLastSave="{00000000-0000-0000-0000-000000000000}"/>
  <bookViews>
    <workbookView xWindow="44940" yWindow="122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8" l="1"/>
  <c r="N24" i="8"/>
  <c r="O23" i="8"/>
  <c r="N23" i="8"/>
  <c r="O22" i="8"/>
  <c r="N22" i="8"/>
  <c r="O29" i="8"/>
  <c r="N29" i="8"/>
  <c r="O28" i="8"/>
  <c r="N28" i="8"/>
  <c r="O27" i="8"/>
  <c r="N27" i="8"/>
  <c r="O26" i="8"/>
  <c r="N26" i="8"/>
  <c r="L53" i="6"/>
  <c r="K53" i="6"/>
  <c r="L52" i="6"/>
  <c r="K52" i="6"/>
  <c r="L51" i="6"/>
  <c r="K51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54" i="6"/>
  <c r="K54" i="6"/>
  <c r="L50" i="6"/>
  <c r="L49" i="6"/>
  <c r="L48" i="6"/>
  <c r="L47" i="6"/>
  <c r="L25" i="6"/>
  <c r="L23" i="6"/>
  <c r="L22" i="6"/>
  <c r="L21" i="6"/>
  <c r="L20" i="6"/>
  <c r="L19" i="6"/>
  <c r="L18" i="6"/>
  <c r="L17" i="6"/>
  <c r="L16" i="6"/>
  <c r="L15" i="6"/>
  <c r="L14" i="6"/>
  <c r="O30" i="8"/>
  <c r="N30" i="8"/>
  <c r="O25" i="8"/>
  <c r="N25" i="8"/>
  <c r="O21" i="8"/>
  <c r="N21" i="8"/>
  <c r="O20" i="8"/>
  <c r="N20" i="8"/>
  <c r="O19" i="8"/>
  <c r="N19" i="8"/>
  <c r="O18" i="8"/>
  <c r="N18" i="8"/>
  <c r="O17" i="8"/>
  <c r="N17" i="8"/>
  <c r="L13" i="6"/>
  <c r="L12" i="6"/>
  <c r="L11" i="6"/>
  <c r="L10" i="6"/>
  <c r="L9" i="6"/>
  <c r="O31" i="8"/>
  <c r="N31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L5" i="6"/>
  <c r="L6" i="6"/>
  <c r="L7" i="6"/>
  <c r="L8" i="6"/>
  <c r="L24" i="6"/>
  <c r="N32" i="8"/>
  <c r="O32" i="8"/>
  <c r="P32" i="8"/>
  <c r="K55" i="6"/>
  <c r="B3" i="7"/>
  <c r="B3" i="8"/>
  <c r="B5" i="7"/>
  <c r="B4" i="7"/>
  <c r="B2" i="7"/>
  <c r="B2" i="8"/>
  <c r="C2" i="10"/>
  <c r="V48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40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5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44" i="8" l="1"/>
  <c r="F42" i="8"/>
  <c r="G41" i="8"/>
  <c r="U48" i="8"/>
  <c r="V47" i="8"/>
  <c r="D43" i="8"/>
  <c r="F41" i="8"/>
  <c r="U47" i="8"/>
  <c r="V46" i="8"/>
  <c r="D42" i="8"/>
  <c r="G40" i="8"/>
  <c r="U46" i="8"/>
  <c r="V45" i="8"/>
  <c r="D41" i="8"/>
  <c r="F40" i="8"/>
  <c r="G48" i="8"/>
  <c r="U45" i="8"/>
  <c r="V44" i="8"/>
  <c r="L2" i="12"/>
  <c r="F48" i="8"/>
  <c r="G47" i="8"/>
  <c r="U44" i="8"/>
  <c r="V43" i="8"/>
  <c r="L36" i="12"/>
  <c r="D40" i="8"/>
  <c r="F47" i="8"/>
  <c r="G46" i="8"/>
  <c r="U43" i="8"/>
  <c r="V42" i="8"/>
  <c r="D48" i="8"/>
  <c r="F46" i="8"/>
  <c r="G45" i="8"/>
  <c r="U42" i="8"/>
  <c r="V41" i="8"/>
  <c r="D47" i="8"/>
  <c r="F45" i="8"/>
  <c r="G44" i="8"/>
  <c r="U41" i="8"/>
  <c r="D46" i="8"/>
  <c r="F44" i="8"/>
  <c r="G43" i="8"/>
  <c r="D45" i="8"/>
  <c r="F43" i="8"/>
  <c r="G42" i="8"/>
  <c r="U40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55" i="8" l="1"/>
  <c r="U56" i="8"/>
  <c r="F50" i="8"/>
  <c r="D53" i="8"/>
  <c r="V56" i="8"/>
  <c r="U57" i="8"/>
  <c r="G50" i="8"/>
  <c r="F51" i="8"/>
  <c r="D54" i="8"/>
  <c r="V57" i="8"/>
  <c r="U49" i="8"/>
  <c r="G51" i="8"/>
  <c r="F52" i="8"/>
  <c r="D55" i="8"/>
  <c r="V49" i="8"/>
  <c r="G52" i="8"/>
  <c r="F53" i="8"/>
  <c r="D56" i="8"/>
  <c r="U50" i="8"/>
  <c r="G53" i="8"/>
  <c r="F54" i="8"/>
  <c r="D57" i="8"/>
  <c r="V50" i="8"/>
  <c r="U51" i="8"/>
  <c r="G54" i="8"/>
  <c r="F55" i="8"/>
  <c r="D49" i="8"/>
  <c r="V51" i="8"/>
  <c r="U52" i="8"/>
  <c r="G55" i="8"/>
  <c r="F56" i="8"/>
  <c r="V52" i="8"/>
  <c r="U53" i="8"/>
  <c r="G56" i="8"/>
  <c r="F57" i="8"/>
  <c r="D50" i="8"/>
  <c r="V53" i="8"/>
  <c r="U54" i="8"/>
  <c r="G57" i="8"/>
  <c r="F49" i="8"/>
  <c r="D51" i="8"/>
  <c r="V54" i="8"/>
  <c r="U55" i="8"/>
  <c r="G49" i="8"/>
  <c r="D52" i="8"/>
</calcChain>
</file>

<file path=xl/sharedStrings.xml><?xml version="1.0" encoding="utf-8"?>
<sst xmlns="http://schemas.openxmlformats.org/spreadsheetml/2006/main" count="2930" uniqueCount="1731">
  <si>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</si>
  <si>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</si>
  <si>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</si>
  <si>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</si>
  <si>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</si>
  <si>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</si>
  <si>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</si>
  <si>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</si>
  <si>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</si>
  <si>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</si>
  <si>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</si>
  <si>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</si>
  <si>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</si>
  <si>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</si>
  <si>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</si>
  <si>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</si>
  <si>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</si>
  <si>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</si>
  <si>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</si>
  <si>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</si>
  <si>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</si>
  <si>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</si>
  <si>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</si>
  <si>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</si>
  <si>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</si>
  <si>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</si>
  <si>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</si>
  <si>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</si>
  <si>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</si>
  <si>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</si>
  <si>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</si>
  <si>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</si>
  <si>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</si>
  <si>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</si>
  <si>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</si>
  <si>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</si>
  <si>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</si>
  <si>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</si>
  <si>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</si>
  <si>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</si>
  <si>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</si>
  <si>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</si>
  <si>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</si>
  <si>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</si>
  <si>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</si>
  <si>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</si>
  <si>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</si>
  <si>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</si>
  <si>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</si>
  <si>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</si>
  <si>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</si>
  <si>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</si>
  <si>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</si>
  <si>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</si>
  <si>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</si>
  <si>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</si>
  <si>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</si>
  <si>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</si>
  <si>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</si>
  <si>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</si>
  <si>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</si>
  <si>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</si>
  <si>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</si>
  <si>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</si>
  <si>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</si>
  <si>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</si>
  <si>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</si>
  <si>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</si>
  <si>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</si>
  <si>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</si>
  <si>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</si>
  <si>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</si>
  <si>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</si>
  <si>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</si>
  <si>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</si>
  <si>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</si>
  <si>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</si>
  <si>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</si>
  <si>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</si>
  <si>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</si>
  <si>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</si>
  <si>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</si>
  <si>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</si>
  <si>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</si>
  <si>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</si>
  <si>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</si>
  <si>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</si>
  <si>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</si>
  <si>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</si>
  <si>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</si>
  <si>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</si>
  <si>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</si>
  <si>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</si>
  <si>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</si>
  <si>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</si>
  <si>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</si>
  <si>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</si>
  <si>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</si>
  <si>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</si>
  <si>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</si>
  <si>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</si>
  <si>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</si>
  <si>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</si>
  <si>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</si>
  <si>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</si>
  <si>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</si>
  <si>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</si>
  <si>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</si>
  <si>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</si>
  <si>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</si>
  <si>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</si>
  <si>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</si>
  <si>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</si>
  <si>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</si>
  <si>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</si>
  <si>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</si>
  <si>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</si>
  <si>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</si>
  <si>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</si>
  <si>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</si>
  <si>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</si>
  <si>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</si>
  <si>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</si>
  <si>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</si>
  <si>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</si>
  <si>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</si>
  <si>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</si>
  <si>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</si>
  <si>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</si>
  <si>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</si>
  <si>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</si>
  <si>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</si>
  <si>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</si>
  <si>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</si>
  <si>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</si>
  <si>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</si>
  <si>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</si>
  <si>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</si>
  <si>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</si>
  <si>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</si>
  <si>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</si>
  <si>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</si>
  <si>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</si>
  <si>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</si>
  <si>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</si>
  <si>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</si>
  <si>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</si>
  <si>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</si>
  <si>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</si>
  <si>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</si>
  <si>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</si>
  <si>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</si>
  <si>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</si>
  <si>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</si>
  <si>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</si>
  <si>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</si>
  <si>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</si>
  <si>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</si>
  <si>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</si>
  <si>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</si>
  <si>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</si>
  <si>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</si>
  <si>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</si>
  <si>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</si>
  <si>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</si>
  <si>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</si>
  <si>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</si>
  <si>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</si>
  <si>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</si>
  <si>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</si>
  <si>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</si>
  <si>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</si>
  <si>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</si>
  <si>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</si>
  <si>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</si>
  <si>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</si>
  <si>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</si>
  <si>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</si>
  <si>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</si>
  <si>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</si>
  <si>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</si>
  <si>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</si>
  <si>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</si>
  <si>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</si>
  <si>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</si>
  <si>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</si>
  <si>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</si>
  <si>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</si>
  <si>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</si>
  <si>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</si>
  <si>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</si>
  <si>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</si>
  <si>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</si>
  <si>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</si>
  <si>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</si>
  <si>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</si>
  <si>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</si>
  <si>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</si>
  <si>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</si>
  <si>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</si>
  <si>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</si>
  <si>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</si>
  <si>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</si>
  <si>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</si>
  <si>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</si>
  <si>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</si>
  <si>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</si>
  <si>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</si>
  <si>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</si>
  <si>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</si>
  <si>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</si>
  <si>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</si>
  <si>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</si>
  <si>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</si>
  <si>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</si>
  <si>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</si>
  <si>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</si>
  <si>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</si>
  <si>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</si>
  <si>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</si>
  <si>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</si>
  <si>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</si>
  <si>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</si>
  <si>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</si>
  <si>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</si>
  <si>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</si>
  <si>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</si>
  <si>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</si>
  <si>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</si>
  <si>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</si>
  <si>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</si>
  <si>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</si>
  <si>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</si>
  <si>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</si>
  <si>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</si>
  <si>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</si>
  <si>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</si>
  <si>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</si>
  <si>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</si>
  <si>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</si>
  <si>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</si>
  <si>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</si>
  <si>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</si>
  <si>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</si>
  <si>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</si>
  <si>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</si>
  <si>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</si>
  <si>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</si>
  <si>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</si>
  <si>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</si>
  <si>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</si>
  <si>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</si>
  <si>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</si>
  <si>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</si>
  <si>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</si>
  <si>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</si>
  <si>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</si>
  <si>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</si>
  <si>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</si>
  <si>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</si>
  <si>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</si>
  <si>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</si>
  <si>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</si>
  <si>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</si>
  <si>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</si>
  <si>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</si>
  <si>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</si>
  <si>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</si>
  <si>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</si>
  <si>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</si>
  <si>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</si>
  <si>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</si>
  <si>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</si>
  <si>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</si>
  <si>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</si>
  <si>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</si>
  <si>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</si>
  <si>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</si>
  <si>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</si>
  <si>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</si>
  <si>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</si>
  <si>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</si>
  <si>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</si>
  <si>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</si>
  <si>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</si>
  <si>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</si>
  <si>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</si>
  <si>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</si>
  <si>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</si>
  <si>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</si>
  <si>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</si>
  <si>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</si>
  <si>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</si>
  <si>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</si>
  <si>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</si>
  <si>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</si>
  <si>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</si>
  <si>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</si>
  <si>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</si>
  <si>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</si>
  <si>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</si>
  <si>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</si>
  <si>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</si>
  <si>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</si>
  <si>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</si>
  <si>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</si>
  <si>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</si>
  <si>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</si>
  <si>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</si>
  <si>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</si>
  <si>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</si>
  <si>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</si>
  <si>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</si>
  <si>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</si>
  <si>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</si>
  <si>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</si>
  <si>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</si>
  <si>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</si>
  <si>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</si>
  <si>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</si>
  <si>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</si>
  <si>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</si>
  <si>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</si>
  <si>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</si>
  <si>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</si>
  <si>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</si>
  <si>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</si>
  <si>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</si>
  <si>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</si>
  <si>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</si>
  <si>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</si>
  <si>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</si>
  <si>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</si>
  <si>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</si>
  <si>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</si>
  <si>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</si>
  <si>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</si>
  <si>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</si>
  <si>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</si>
  <si>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</si>
  <si>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</si>
  <si>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</si>
  <si>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</si>
  <si>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</si>
  <si>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</si>
  <si>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</si>
  <si>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</si>
  <si>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</si>
  <si>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</si>
  <si>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</si>
  <si>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</si>
  <si>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</si>
  <si>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</si>
  <si>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</si>
  <si>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</si>
  <si>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</si>
  <si>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</si>
  <si>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</si>
  <si>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</si>
  <si>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</si>
  <si>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</si>
  <si>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</si>
  <si>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</si>
  <si>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</si>
  <si>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</si>
  <si>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</si>
  <si>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</si>
  <si>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</si>
  <si>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</si>
  <si>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</si>
  <si>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</si>
  <si>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</si>
  <si>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</si>
  <si>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</si>
  <si>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</si>
  <si>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</si>
  <si>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</si>
  <si>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</si>
  <si>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</si>
  <si>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</si>
  <si>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</si>
  <si>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</si>
  <si>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</si>
  <si>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</si>
  <si>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</si>
  <si>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</si>
  <si>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</si>
  <si>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</si>
  <si>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</si>
  <si>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</si>
  <si>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</si>
  <si>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</si>
  <si>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</si>
  <si>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</si>
  <si>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</si>
  <si>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</si>
  <si>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</si>
  <si>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</si>
  <si>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</si>
  <si>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</si>
  <si>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</si>
  <si>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</si>
  <si>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</si>
  <si>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</si>
  <si>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</si>
  <si>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</si>
  <si>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</si>
  <si>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</si>
  <si>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</si>
  <si>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</si>
  <si>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</si>
  <si>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</si>
  <si>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</si>
  <si>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</si>
  <si>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</si>
  <si>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</si>
  <si>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</si>
  <si>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</si>
  <si>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</si>
  <si>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</si>
  <si>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</si>
  <si>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</si>
  <si>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</si>
  <si>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</si>
  <si>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</si>
  <si>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</si>
  <si>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</si>
  <si>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</si>
  <si>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</si>
  <si>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</si>
  <si>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</si>
  <si>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</si>
  <si>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</si>
  <si>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</si>
  <si>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</si>
  <si>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</si>
  <si>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</si>
  <si>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</si>
  <si>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</si>
  <si>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</si>
  <si>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</si>
  <si>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</si>
  <si>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</si>
  <si>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</si>
  <si>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</si>
  <si>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</si>
  <si>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</si>
  <si>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</si>
  <si>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</si>
  <si>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</si>
  <si>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</si>
  <si>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</si>
  <si>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</si>
  <si>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</si>
  <si>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</si>
  <si>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</si>
  <si>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</si>
  <si>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</si>
  <si>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</si>
  <si>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</si>
  <si>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</si>
  <si>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</si>
  <si>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</si>
  <si>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</si>
  <si>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</si>
  <si>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</si>
  <si>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</si>
  <si>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</si>
  <si>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</si>
  <si>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</si>
  <si>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</si>
  <si>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</si>
  <si>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</si>
  <si>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</si>
  <si>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</si>
  <si>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</si>
  <si>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</si>
  <si>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</si>
  <si>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</si>
  <si>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</si>
  <si>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</si>
  <si>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</si>
  <si>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</si>
  <si>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</si>
  <si>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</si>
  <si>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</si>
  <si>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</si>
  <si>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</si>
  <si>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</si>
  <si>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</si>
  <si>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</si>
  <si>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</si>
  <si>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</si>
  <si>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</si>
  <si>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</si>
  <si>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</si>
  <si>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</si>
  <si>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</si>
  <si>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</si>
  <si>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</si>
  <si>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</si>
  <si>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</si>
  <si>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</si>
  <si>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</si>
  <si>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</si>
  <si>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</si>
  <si>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</si>
  <si>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</si>
  <si>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</si>
  <si>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</si>
  <si>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</si>
  <si>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</si>
  <si>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</si>
  <si>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</si>
  <si>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</si>
  <si>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</si>
  <si>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</si>
  <si>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</si>
  <si>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</si>
  <si>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</si>
  <si>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</si>
  <si>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</si>
  <si>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</si>
  <si>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</si>
  <si>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</si>
  <si>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</si>
  <si>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</si>
  <si>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</si>
  <si>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</si>
  <si>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</si>
  <si>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</si>
  <si>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</si>
  <si>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</si>
  <si>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</si>
  <si>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</si>
  <si>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</si>
  <si>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</si>
  <si>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</si>
  <si>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</si>
  <si>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</si>
  <si>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</si>
  <si>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</si>
  <si>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</si>
  <si>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</si>
  <si>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</si>
  <si>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</si>
  <si>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</si>
  <si>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</si>
  <si>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</si>
  <si>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</si>
  <si>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</si>
  <si>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</si>
  <si>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</si>
  <si>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</si>
  <si>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</si>
  <si>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</si>
  <si>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</si>
  <si>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</si>
  <si>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</si>
  <si>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</si>
  <si>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</si>
  <si>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</si>
  <si>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</si>
  <si>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</si>
  <si>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</si>
  <si>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</si>
  <si>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</si>
  <si>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</si>
  <si>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</si>
  <si>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</si>
  <si>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</si>
  <si>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</si>
  <si>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</si>
  <si>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</si>
  <si>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</si>
  <si>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</si>
  <si>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</si>
  <si>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</si>
  <si>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</si>
  <si>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</si>
  <si>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</si>
  <si>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</si>
  <si>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</si>
  <si>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</si>
  <si>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</si>
  <si>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</si>
  <si>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</si>
  <si>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</si>
  <si>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</si>
  <si>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</si>
  <si>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</si>
  <si>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</si>
  <si>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</si>
  <si>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</si>
  <si>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</si>
  <si>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</si>
  <si>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</si>
  <si>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</si>
  <si>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</si>
  <si>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</si>
  <si>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</si>
  <si>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</si>
  <si>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</si>
  <si>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</si>
  <si>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</si>
  <si>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</si>
  <si>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</si>
  <si>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</si>
  <si>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</si>
  <si>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</si>
  <si>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</si>
  <si>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</si>
  <si>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</si>
  <si>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</si>
  <si>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</si>
  <si>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</si>
  <si>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</si>
  <si>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</si>
  <si>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</si>
  <si>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</si>
  <si>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</si>
  <si>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</si>
  <si>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</si>
  <si>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</si>
  <si>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</si>
  <si>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</si>
  <si>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</si>
  <si>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</si>
  <si>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</si>
  <si>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</si>
  <si>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</si>
  <si>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</si>
  <si>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</si>
  <si>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</si>
  <si>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</si>
  <si>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</si>
  <si>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</si>
  <si>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</si>
  <si>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</si>
  <si>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</si>
  <si>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</si>
  <si>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</si>
  <si>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</si>
  <si>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</si>
  <si>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</si>
  <si>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</si>
  <si>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</si>
  <si>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</si>
  <si>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</si>
  <si>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</si>
  <si>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</si>
  <si>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</si>
  <si>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</si>
  <si>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</si>
  <si>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</si>
  <si>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</si>
  <si>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</si>
  <si>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</si>
  <si>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</si>
  <si>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</si>
  <si>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</si>
  <si>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</si>
  <si>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</si>
  <si>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</si>
  <si>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</si>
  <si>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</si>
  <si>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</si>
  <si>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</si>
  <si>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</si>
  <si>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</si>
  <si>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</si>
  <si>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</si>
  <si>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</si>
  <si>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</si>
  <si>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</si>
  <si>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</si>
  <si>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</si>
  <si>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</si>
  <si>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</si>
  <si>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</si>
  <si>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</si>
  <si>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</si>
  <si>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</si>
  <si>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</si>
  <si>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</si>
  <si>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</si>
  <si>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</si>
  <si>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</si>
  <si>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</si>
  <si>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</si>
  <si>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</si>
  <si>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</si>
  <si>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</si>
  <si>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</si>
  <si>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</si>
  <si>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</si>
  <si>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</si>
  <si>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</si>
  <si>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</si>
  <si>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</si>
  <si>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</si>
  <si>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</si>
  <si>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</si>
  <si>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</si>
  <si>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</si>
  <si>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</si>
  <si>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</si>
  <si>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</si>
  <si>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</si>
  <si>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</si>
  <si>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</si>
  <si>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</si>
  <si>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</si>
  <si>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</si>
  <si>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</si>
  <si>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</si>
  <si>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</si>
  <si>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</si>
  <si>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</si>
  <si>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</si>
  <si>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</si>
  <si>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</si>
  <si>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</si>
  <si>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</si>
  <si>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</si>
  <si>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</si>
  <si>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</si>
  <si>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</si>
  <si>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</si>
  <si>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</si>
  <si>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</si>
  <si>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</si>
  <si>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</si>
  <si>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</si>
  <si>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</si>
  <si>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</si>
  <si>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</si>
  <si>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</si>
  <si>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</si>
  <si>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</si>
  <si>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</si>
  <si>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</si>
  <si>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</si>
  <si>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</si>
  <si>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</si>
  <si>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</si>
  <si>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</si>
  <si>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</si>
  <si>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</si>
  <si>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</si>
  <si>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</si>
  <si>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</si>
  <si>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</si>
  <si>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</si>
  <si>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</si>
  <si>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</si>
  <si>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</si>
  <si>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</si>
  <si>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</si>
  <si>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</si>
  <si>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</si>
  <si>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</si>
  <si>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</si>
  <si>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</si>
  <si>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</si>
  <si>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</si>
  <si>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</si>
  <si>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</si>
  <si>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</si>
  <si>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</si>
  <si>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</si>
  <si>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</si>
  <si>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</si>
  <si>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</si>
  <si>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</si>
  <si>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</si>
  <si>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</si>
  <si>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</si>
  <si>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</si>
  <si>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</si>
  <si>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</si>
  <si>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</si>
  <si>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</si>
  <si>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</si>
  <si>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</si>
  <si>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</si>
  <si>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</si>
  <si>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</si>
  <si>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</si>
  <si>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</si>
  <si>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</si>
  <si>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</si>
  <si>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</si>
  <si>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</si>
  <si>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</si>
  <si>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</si>
  <si>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</si>
  <si>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</si>
  <si>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</si>
  <si>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</si>
  <si>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</si>
  <si>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</si>
  <si>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</si>
  <si>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</si>
  <si>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</si>
  <si>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</si>
  <si>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</si>
  <si>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</si>
  <si>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</si>
  <si>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</si>
  <si>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</si>
  <si>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</si>
  <si>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</si>
  <si>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</si>
  <si>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</si>
  <si>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</si>
  <si>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</si>
  <si>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</si>
  <si>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</si>
  <si>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</si>
  <si>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</si>
  <si>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</si>
  <si>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</si>
  <si>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</si>
  <si>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</si>
  <si>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</si>
  <si>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</si>
  <si>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</si>
  <si>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</si>
  <si>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</si>
  <si>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</si>
  <si>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</si>
  <si>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</si>
  <si>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</si>
  <si>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</si>
  <si>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</si>
  <si>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</si>
  <si>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</si>
  <si>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</si>
  <si>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</si>
  <si>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</si>
  <si>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</si>
  <si>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</si>
  <si>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</si>
  <si>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</si>
  <si>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</si>
  <si>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</si>
  <si>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</si>
  <si>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</si>
  <si>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</si>
  <si>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</si>
  <si>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</si>
  <si>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</si>
  <si>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</si>
  <si>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</si>
  <si>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</si>
  <si>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</si>
  <si>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</si>
  <si>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</si>
  <si>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</si>
  <si>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</si>
  <si>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</si>
  <si>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</si>
  <si>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</si>
  <si>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</si>
  <si>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</si>
  <si>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</si>
  <si>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</si>
  <si>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</si>
  <si>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</si>
  <si>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</si>
  <si>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</si>
  <si>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</si>
  <si>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</si>
  <si>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</si>
  <si>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</si>
  <si>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</si>
  <si>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</si>
  <si>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</si>
  <si>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</si>
  <si>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</si>
  <si>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</si>
  <si>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</si>
  <si>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</si>
  <si>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</si>
  <si>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</si>
  <si>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</si>
  <si>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</si>
  <si>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</si>
  <si>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</si>
  <si>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</si>
  <si>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</si>
  <si>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</si>
  <si>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</si>
  <si>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</si>
  <si>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</si>
  <si>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</si>
  <si>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</si>
  <si>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</si>
  <si>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</si>
  <si>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</si>
  <si>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</si>
  <si>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</si>
  <si>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</si>
  <si>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</si>
  <si>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</si>
  <si>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</si>
  <si>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</si>
  <si>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</si>
  <si>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</si>
  <si>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</si>
  <si>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</si>
  <si>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</si>
  <si>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</si>
  <si>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</si>
  <si>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</si>
  <si>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</si>
  <si>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</si>
  <si>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</si>
  <si>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</si>
  <si>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</si>
  <si>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</si>
  <si>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</si>
  <si>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</si>
  <si>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</si>
  <si>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</si>
  <si>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</si>
  <si>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</si>
  <si>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</si>
  <si>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</si>
  <si>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</si>
  <si>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</si>
  <si>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</si>
  <si>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</si>
  <si>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</si>
  <si>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</si>
  <si>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</si>
  <si>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</si>
  <si>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</si>
  <si>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</si>
  <si>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</si>
  <si>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</si>
  <si>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</si>
  <si>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</si>
  <si>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</si>
  <si>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</si>
  <si>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</si>
  <si>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</si>
  <si>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</si>
  <si>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</si>
  <si>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</si>
  <si>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</si>
  <si>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</si>
  <si>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</si>
  <si>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</si>
  <si>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</si>
  <si>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</si>
  <si>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</si>
  <si>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</si>
  <si>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</si>
  <si>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</si>
  <si>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</si>
  <si>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</si>
  <si>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</si>
  <si>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</si>
  <si>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</si>
  <si>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</si>
  <si>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</si>
  <si>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</si>
  <si>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</si>
  <si>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</si>
  <si>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</si>
  <si>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</si>
  <si>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</si>
  <si>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</si>
  <si>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</si>
  <si>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</si>
  <si>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</si>
  <si>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</si>
  <si>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</si>
  <si>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</si>
  <si>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</si>
  <si>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</si>
  <si>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</si>
  <si>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</si>
  <si>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</si>
  <si>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</si>
  <si>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</si>
  <si>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</si>
  <si>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</si>
  <si>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</si>
  <si>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</si>
  <si>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</si>
  <si>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</si>
  <si>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</si>
  <si>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</si>
  <si>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</si>
  <si>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</si>
  <si>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</si>
  <si>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</si>
  <si>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</si>
  <si>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</si>
  <si>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</si>
  <si>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</si>
  <si>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</si>
  <si>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</si>
  <si>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</si>
  <si>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</si>
  <si>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</si>
  <si>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</si>
  <si>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</si>
  <si>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</si>
  <si>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</si>
  <si>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</si>
  <si>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</si>
  <si>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</si>
  <si>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</si>
  <si>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</si>
  <si>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</si>
  <si>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</si>
  <si>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</si>
  <si>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</si>
  <si>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</si>
  <si>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</si>
  <si>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</si>
  <si>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</si>
  <si>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</si>
  <si>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</si>
  <si>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</si>
  <si>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</si>
  <si>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</si>
  <si>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</si>
  <si>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</si>
  <si>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</si>
  <si>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</si>
  <si>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</si>
  <si>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</si>
  <si>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</si>
  <si>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</si>
  <si>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</si>
  <si>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</si>
  <si>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</si>
  <si>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</si>
  <si>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</si>
  <si>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</si>
  <si>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</si>
  <si>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</si>
  <si>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</si>
  <si>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</si>
  <si>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</si>
  <si>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</si>
  <si>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</si>
  <si>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</si>
  <si>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</si>
  <si>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</si>
  <si>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</si>
  <si>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</si>
  <si>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</si>
  <si>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</si>
  <si>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</si>
  <si>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</si>
  <si>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</si>
  <si>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</si>
  <si>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</si>
  <si>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</si>
  <si>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</si>
  <si>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</si>
  <si>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</si>
  <si>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</si>
  <si>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</si>
  <si>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</si>
  <si>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</si>
  <si>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</si>
  <si>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</si>
  <si>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</si>
  <si>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</si>
  <si>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</si>
  <si>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</si>
  <si>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</si>
  <si>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</si>
  <si>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</si>
  <si>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</si>
  <si>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</si>
  <si>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</si>
  <si>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</si>
  <si>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</si>
  <si>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</si>
  <si>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</si>
  <si>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</si>
  <si>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</si>
  <si>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</si>
  <si>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</si>
  <si>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</si>
  <si>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</si>
  <si>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</si>
  <si>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</si>
  <si>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</si>
  <si>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</si>
  <si>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</si>
  <si>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</si>
  <si>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</si>
  <si>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</si>
  <si>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</si>
  <si>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</si>
  <si>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</si>
  <si>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</si>
  <si>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</si>
  <si>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</si>
  <si>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</si>
  <si>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</si>
  <si>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</si>
  <si>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</si>
  <si>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</si>
  <si>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</si>
  <si>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</si>
  <si>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</si>
  <si>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</si>
  <si>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</si>
  <si>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</si>
  <si>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</si>
  <si>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</si>
  <si>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</si>
  <si>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</si>
  <si>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</si>
  <si>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</si>
  <si>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</si>
  <si>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</si>
  <si>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</si>
  <si>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</si>
  <si>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</si>
  <si>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</si>
  <si>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</si>
  <si>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</si>
  <si>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</si>
  <si>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</si>
  <si>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</si>
  <si>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</si>
  <si>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</si>
  <si>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</si>
  <si>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</si>
  <si>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</si>
  <si>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</si>
  <si>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</si>
  <si>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</si>
  <si>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</si>
  <si>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</si>
  <si>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</si>
  <si>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</si>
  <si>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</si>
  <si>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</si>
  <si>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</si>
  <si>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</si>
  <si>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</si>
  <si>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</si>
  <si>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</si>
  <si>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</si>
  <si>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</si>
  <si>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</si>
  <si>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</si>
  <si>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</si>
  <si>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</si>
  <si>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</si>
  <si>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</si>
  <si>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</si>
  <si>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</si>
  <si>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</si>
  <si>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</si>
  <si>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</si>
  <si>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</si>
  <si>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</si>
  <si>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</si>
  <si>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</si>
  <si>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</si>
  <si>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</si>
  <si>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</si>
  <si>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</si>
  <si>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</si>
  <si>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</si>
  <si>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</si>
  <si>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</si>
  <si>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</si>
  <si>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</si>
  <si>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</si>
  <si>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</si>
  <si>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</si>
  <si>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</si>
  <si>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</si>
  <si>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</si>
  <si>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</si>
  <si>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</si>
  <si>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</si>
  <si>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</si>
  <si>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</si>
  <si>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</si>
  <si>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</si>
  <si>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</si>
  <si>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</si>
  <si>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</si>
  <si>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</si>
  <si>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</si>
  <si>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</si>
  <si>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</si>
  <si>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</si>
  <si>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</si>
  <si>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</si>
  <si>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</si>
  <si>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</si>
  <si>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</si>
  <si>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</si>
  <si>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</si>
  <si>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</si>
  <si>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</si>
  <si>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</si>
  <si>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</si>
  <si>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</si>
  <si>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</si>
  <si>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</si>
  <si>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</si>
  <si>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</si>
  <si>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</si>
  <si>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</si>
  <si>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</si>
  <si>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</si>
  <si>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</si>
  <si>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</si>
  <si>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</si>
  <si>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</si>
  <si>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</si>
  <si>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</si>
  <si>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</si>
  <si>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</si>
  <si>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</si>
  <si>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</si>
  <si>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</si>
  <si>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</si>
  <si>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</si>
  <si>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</si>
  <si>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</si>
  <si>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</si>
  <si>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</si>
  <si>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</si>
  <si>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</si>
  <si>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</si>
  <si>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</si>
  <si>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</si>
  <si>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</si>
  <si>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</si>
  <si>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</si>
  <si>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</si>
  <si>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</si>
  <si>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</si>
  <si>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</si>
  <si>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</si>
  <si>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</si>
  <si>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</si>
  <si>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</si>
  <si>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</si>
  <si>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</si>
  <si>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</si>
  <si>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</si>
  <si>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</si>
  <si>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</si>
  <si>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</si>
  <si>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</si>
  <si>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</si>
  <si>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</si>
  <si>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</si>
  <si>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</si>
  <si>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</si>
  <si>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</si>
  <si>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</si>
  <si>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</si>
  <si>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</si>
  <si>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</si>
  <si>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</si>
  <si>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</si>
  <si>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</si>
  <si>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</si>
  <si>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</si>
  <si>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</si>
  <si>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</si>
  <si>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</si>
  <si>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</si>
  <si>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</si>
  <si>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</si>
  <si>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</si>
  <si>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</si>
  <si>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</si>
  <si>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</si>
  <si>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</si>
  <si>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</si>
  <si>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</si>
  <si>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</si>
  <si>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</si>
  <si>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</si>
  <si>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</si>
  <si>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</si>
  <si>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</si>
  <si>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</si>
  <si>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</si>
  <si>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</si>
  <si>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</si>
  <si>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</si>
  <si>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</si>
  <si>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</si>
  <si>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</si>
  <si>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</si>
  <si>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</si>
  <si>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</si>
  <si>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</si>
  <si>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</si>
  <si>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</si>
  <si>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</si>
  <si>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</si>
  <si>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</si>
  <si>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</si>
  <si>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</si>
  <si>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</si>
  <si>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</si>
  <si>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</si>
  <si>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</si>
  <si>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</si>
  <si>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</si>
  <si>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</si>
  <si>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</si>
  <si>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</si>
  <si>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</si>
  <si>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</si>
  <si>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</si>
  <si>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</si>
  <si>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</si>
  <si>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</si>
  <si>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</si>
  <si>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</si>
  <si>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</si>
  <si>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</si>
  <si>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</si>
  <si>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</si>
  <si>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</si>
  <si>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</si>
  <si>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</si>
  <si>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</si>
  <si>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</si>
  <si>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</si>
  <si>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</si>
  <si>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</si>
  <si>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</si>
  <si>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</si>
  <si>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</si>
  <si>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</si>
  <si>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</si>
  <si>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</si>
  <si>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</si>
  <si>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</si>
  <si>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</si>
  <si>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</si>
  <si>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</si>
  <si>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</si>
  <si>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</si>
  <si>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</si>
  <si>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</si>
  <si>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</si>
  <si>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</si>
  <si>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</si>
  <si>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</si>
  <si>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</si>
  <si>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</si>
  <si>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</si>
  <si>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</si>
  <si>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</si>
  <si>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</si>
  <si>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</si>
  <si>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</si>
  <si>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</si>
  <si>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</si>
  <si>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</si>
  <si>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</si>
  <si>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</si>
  <si>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</si>
  <si>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</si>
  <si>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</si>
  <si>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</si>
  <si>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</si>
  <si>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</si>
  <si>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</si>
  <si>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</si>
  <si>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</si>
  <si>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</si>
  <si>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</si>
  <si>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</si>
  <si>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</si>
  <si>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</si>
  <si>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</si>
  <si>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</si>
  <si>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</si>
  <si>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</si>
  <si>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</si>
  <si>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</si>
  <si>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</si>
  <si>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</si>
  <si>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</si>
  <si>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</si>
  <si>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</si>
  <si>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</si>
  <si>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</si>
  <si>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</si>
  <si>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</si>
  <si>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</si>
  <si>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</si>
  <si>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</si>
  <si>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</si>
  <si>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</si>
  <si>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</si>
  <si>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</si>
  <si>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</si>
  <si>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</si>
  <si>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</si>
  <si>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</si>
  <si>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</si>
  <si>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</si>
  <si>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</si>
  <si>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</si>
  <si>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</si>
  <si>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</si>
  <si>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</si>
  <si>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</si>
  <si>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</si>
  <si>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</si>
  <si>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</si>
  <si>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</si>
  <si>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</si>
  <si>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</si>
  <si>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</si>
  <si>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</si>
  <si>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</si>
  <si>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</si>
  <si>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</si>
  <si>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</si>
  <si>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</si>
  <si>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</si>
  <si>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</si>
  <si>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</si>
  <si>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</si>
  <si>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</si>
  <si>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</si>
  <si>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</si>
  <si>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</si>
  <si>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</si>
  <si>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</si>
  <si>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</si>
  <si>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</si>
  <si>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</si>
  <si>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</si>
  <si>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</si>
  <si>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</si>
  <si>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</si>
  <si>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</si>
  <si>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</si>
  <si>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</si>
  <si>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</si>
  <si>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</si>
  <si>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</si>
  <si>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</si>
  <si>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</si>
  <si>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</si>
  <si>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</si>
  <si>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</si>
  <si>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</si>
  <si>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</t>
  </si>
  <si>
    <t>number</t>
  </si>
  <si>
    <t>common_data_type</t>
  </si>
  <si>
    <t>登録データタイプ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</si>
  <si>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</si>
  <si>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</si>
  <si>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</si>
  <si>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</si>
  <si>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</si>
  <si>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</si>
  <si>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</si>
  <si>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</si>
  <si>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</si>
  <si>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experiments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</si>
  <si>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</si>
  <si>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</si>
  <si>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</si>
  <si>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</si>
  <si>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</si>
  <si>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</si>
  <si>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</si>
  <si>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</si>
  <si>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</si>
  <si>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</si>
  <si>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Data type</t>
  </si>
  <si>
    <t>measurement.specimen</t>
  </si>
  <si>
    <t>試料</t>
  </si>
  <si>
    <t>Specimen</t>
  </si>
  <si>
    <t>operator_identifier</t>
  </si>
  <si>
    <t>測定者</t>
  </si>
  <si>
    <t>Operator identifier</t>
  </si>
  <si>
    <t>所属施設など</t>
  </si>
  <si>
    <t>measurement_technique</t>
  </si>
  <si>
    <t>測定手法</t>
  </si>
  <si>
    <t>Measurement Technique</t>
  </si>
  <si>
    <t>measurement_instrument</t>
  </si>
  <si>
    <t>測定装置</t>
  </si>
  <si>
    <t>Measurement Instrument</t>
  </si>
  <si>
    <t>experiment_id</t>
  </si>
  <si>
    <t>測定内容識別ID</t>
  </si>
  <si>
    <t>Experiment ID</t>
  </si>
  <si>
    <t>peak_name</t>
  </si>
  <si>
    <t>ピーク名</t>
  </si>
  <si>
    <t>Peak Name</t>
  </si>
  <si>
    <t>transitions</t>
  </si>
  <si>
    <t>スペクトルの元素種の遷移</t>
  </si>
  <si>
    <t>Transitions</t>
  </si>
  <si>
    <t>pass_energy</t>
  </si>
  <si>
    <t>パスエネルギー値</t>
  </si>
  <si>
    <t>Pass Energy</t>
  </si>
  <si>
    <t>abscissa_start</t>
  </si>
  <si>
    <t>横軸の起点</t>
  </si>
  <si>
    <t>Abscissa start</t>
  </si>
  <si>
    <t>abscissa_end</t>
  </si>
  <si>
    <t>横軸の終点</t>
  </si>
  <si>
    <t>Abscissa end</t>
  </si>
  <si>
    <t>abscissa_increment</t>
  </si>
  <si>
    <t>エネルギーステップ幅</t>
  </si>
  <si>
    <t>Abscissa increment</t>
  </si>
  <si>
    <t>collection_time</t>
  </si>
  <si>
    <t>シグナル収集時間（データ1点当たりの溜め込み時間）</t>
  </si>
  <si>
    <t>Collection time</t>
  </si>
  <si>
    <t>measurement_acquisition_number_per_peak_sweep</t>
  </si>
  <si>
    <t>スイープ毎繰返し測定回数</t>
  </si>
  <si>
    <t>Measurement Acquisition Number Per Peak Sweep</t>
  </si>
  <si>
    <t>xray_power</t>
  </si>
  <si>
    <t>X線パワー</t>
  </si>
  <si>
    <t>Xray Power</t>
  </si>
  <si>
    <t>analyzer_mode</t>
  </si>
  <si>
    <t>分析器分光動作モード</t>
  </si>
  <si>
    <t>Analyzer Mode</t>
  </si>
  <si>
    <t>analyzer_work_function</t>
  </si>
  <si>
    <t>分析器仕事関数</t>
  </si>
  <si>
    <t>Analyzer Work Function</t>
  </si>
  <si>
    <t>xray_analyzer_angle</t>
  </si>
  <si>
    <t>照射X線 分析器間角度</t>
  </si>
  <si>
    <t>Xray Analyzer Angle</t>
  </si>
  <si>
    <t>analyzer_solid_angle</t>
  </si>
  <si>
    <t>分析器取込立体角度</t>
  </si>
  <si>
    <t>Analyzer Solid Angle</t>
  </si>
  <si>
    <t>analysis_width_x</t>
  </si>
  <si>
    <t>X成分</t>
  </si>
  <si>
    <t>Analysis Width_x</t>
  </si>
  <si>
    <t>analysis_width_y</t>
  </si>
  <si>
    <t>Y成分</t>
  </si>
  <si>
    <t>Analysis Width_y</t>
  </si>
  <si>
    <t>analysis_source_label</t>
  </si>
  <si>
    <t>分析線源ラベル</t>
  </si>
  <si>
    <t>analysis source label</t>
  </si>
  <si>
    <t>analysis_source_characteristics_energy</t>
  </si>
  <si>
    <t>分析線源特性エネルギー</t>
  </si>
  <si>
    <t>analysis source characteristics energy</t>
  </si>
  <si>
    <t>analysis_source_beam_width_x</t>
  </si>
  <si>
    <t>分析線源ビーム幅x</t>
  </si>
  <si>
    <t>analysis source beam width x</t>
  </si>
  <si>
    <t>analysis_source_beam_width_y</t>
  </si>
  <si>
    <t>分析線源ビーム幅y</t>
  </si>
  <si>
    <t>analysis source beam width y</t>
  </si>
  <si>
    <t>analysis_source_polar_angle_of_incidence</t>
  </si>
  <si>
    <t>分析線源入射極角</t>
  </si>
  <si>
    <t>analysis source polar angle of incidence</t>
  </si>
  <si>
    <t>analysis_source_azimuth</t>
  </si>
  <si>
    <t>分析線源方位角</t>
  </si>
  <si>
    <t>analysis source azimuth</t>
  </si>
  <si>
    <t>signal_mode</t>
  </si>
  <si>
    <t>信号モード</t>
  </si>
  <si>
    <t>signal mode</t>
  </si>
  <si>
    <t>sample_normal_polar_angle_of_tilt</t>
  </si>
  <si>
    <t>試料法線極角</t>
  </si>
  <si>
    <t>sample normal polar angle of tilt</t>
  </si>
  <si>
    <t>sample_normal_tilt_azimuth</t>
  </si>
  <si>
    <t>試料法線方位角</t>
  </si>
  <si>
    <t>sample normal tilt azimuth</t>
  </si>
  <si>
    <t>sample_rotation_angle</t>
  </si>
  <si>
    <t>試料回転角</t>
  </si>
  <si>
    <t>sample rotation angle</t>
  </si>
  <si>
    <t>comment</t>
  </si>
  <si>
    <t>コメント</t>
  </si>
  <si>
    <t>Comment</t>
  </si>
  <si>
    <t>eV</t>
  </si>
  <si>
    <t>s</t>
  </si>
  <si>
    <t>W</t>
  </si>
  <si>
    <t>deg</t>
  </si>
  <si>
    <t>sr</t>
  </si>
  <si>
    <t>um</t>
  </si>
  <si>
    <t>V</t>
  </si>
  <si>
    <t>measurement_method_category</t>
  </si>
  <si>
    <t>計測法カテゴリー</t>
  </si>
  <si>
    <t>Method category</t>
  </si>
  <si>
    <t>measurement_method_sub_category</t>
  </si>
  <si>
    <t>計測法サブカテゴリー</t>
  </si>
  <si>
    <t>Method sub-category</t>
  </si>
  <si>
    <t>measurement_analysis_field</t>
  </si>
  <si>
    <t>分析分野</t>
  </si>
  <si>
    <t>Analysis field</t>
  </si>
  <si>
    <t>measurement_measurement_environment</t>
  </si>
  <si>
    <t>測定環境</t>
  </si>
  <si>
    <t>Measurement environment</t>
  </si>
  <si>
    <t>measurement_energy_level_transition_structure_etc_of_interst</t>
  </si>
  <si>
    <t>対象準位_遷移_構造</t>
  </si>
  <si>
    <t>Energy level_transition_structure etc. of interst</t>
  </si>
  <si>
    <t>measurement_measured_date</t>
  </si>
  <si>
    <t>分析年月日</t>
  </si>
  <si>
    <t>Measured date</t>
  </si>
  <si>
    <t>measurement_standardized_procedure</t>
  </si>
  <si>
    <t>標準手順</t>
  </si>
  <si>
    <t>Standardized procedure</t>
  </si>
  <si>
    <t>measurement_instrumentation_site</t>
  </si>
  <si>
    <t>装置設置場所</t>
  </si>
  <si>
    <t>Instrumentation site</t>
  </si>
  <si>
    <t>XPS</t>
  </si>
  <si>
    <t>measurement</t>
  </si>
  <si>
    <t>分光法</t>
  </si>
  <si>
    <t>X線光電子分光法</t>
  </si>
  <si>
    <t>真空中</t>
  </si>
  <si>
    <t>RDEDatasetTemplateSheet_RDE_XPS_ulvac_phi</t>
    <phoneticPr fontId="2"/>
  </si>
  <si>
    <t>標準データセットテンプレートRDE_XPSのulvac_phi用RDEデータセットテンプレート</t>
    <rPh sb="0" eb="2">
      <t xml:space="preserve">ヒョウジュン </t>
    </rPh>
    <phoneticPr fontId="2"/>
  </si>
  <si>
    <t>measurement.measured_date</t>
  </si>
  <si>
    <t>measurement.reference</t>
  </si>
  <si>
    <t>Operator</t>
  </si>
  <si>
    <t>operator_affiliation_identifier</t>
  </si>
  <si>
    <t>測定者所属機関</t>
  </si>
  <si>
    <t>Operator affiliation identifier</t>
  </si>
  <si>
    <t>institution_idendfier</t>
  </si>
  <si>
    <t>Institution</t>
  </si>
  <si>
    <t>Institution idendfier</t>
  </si>
  <si>
    <t>Technique</t>
  </si>
  <si>
    <t>InstrumentModel</t>
  </si>
  <si>
    <t>ExperimentID</t>
  </si>
  <si>
    <t>file_property</t>
  </si>
  <si>
    <t>FileType</t>
  </si>
  <si>
    <t>測定ファイル_属性</t>
  </si>
  <si>
    <t>File Property</t>
  </si>
  <si>
    <t>sputtering_ion_energy</t>
  </si>
  <si>
    <t>SputterEnergy</t>
  </si>
  <si>
    <t>イオンスパッタリングビームエネルギー</t>
  </si>
  <si>
    <t>Sputtering Ion Energy</t>
  </si>
  <si>
    <t>sputtering_raster_area</t>
  </si>
  <si>
    <t>SputterRaster</t>
  </si>
  <si>
    <t>スパッタリングラスター範囲</t>
  </si>
  <si>
    <t>Sputtering Raster Area</t>
  </si>
  <si>
    <t>specimen_stage_rotation_setting_during_sputtering</t>
  </si>
  <si>
    <t>SampleRotation</t>
  </si>
  <si>
    <t>スパッタ時試料台回転設定</t>
  </si>
  <si>
    <t>Specimen Stage Rotation Setting During Sputtering</t>
  </si>
  <si>
    <t>depth_profiling_preset_layer_number</t>
  </si>
  <si>
    <t>NoDepthReg</t>
  </si>
  <si>
    <t>デプスプロファイルスパッタ条件設定レイヤー数</t>
  </si>
  <si>
    <t>Depth Profiling Preset Layer Number</t>
  </si>
  <si>
    <t>time_from_sputtering_to_measurement</t>
  </si>
  <si>
    <t>ProfSputterDelay</t>
  </si>
  <si>
    <t>スパッタ後測定開始待機時間</t>
  </si>
  <si>
    <t>Time from Sputtering to Measurement</t>
  </si>
  <si>
    <t>total_cycle_number</t>
  </si>
  <si>
    <t>総サイクル数</t>
  </si>
  <si>
    <t>Total Cycle Number</t>
  </si>
  <si>
    <t>cycle_control_preset</t>
  </si>
  <si>
    <t>サイクル制御設定</t>
  </si>
  <si>
    <t>Cycle Control Preset</t>
  </si>
  <si>
    <t>software_preset_sputtering_layer_name</t>
  </si>
  <si>
    <t>ソフトウェア上設定レイヤー名</t>
  </si>
  <si>
    <t>Software Preset Sputtering Layer Name</t>
  </si>
  <si>
    <t>sputtering_layer_preset_interval_time</t>
  </si>
  <si>
    <t>スパッタレイヤー設定スパッタインターバル時間</t>
  </si>
  <si>
    <t>Sputtering Layer Preset Interval Time</t>
  </si>
  <si>
    <t>sputtering_layer_preset_cycle_number</t>
  </si>
  <si>
    <t>スパッタレイヤー設定サイクル数</t>
  </si>
  <si>
    <t>Sputtering Layer Preset Cycle Number</t>
  </si>
  <si>
    <t>SpectralRegDef</t>
  </si>
  <si>
    <t>SurvNumCycles</t>
  </si>
  <si>
    <t>peak_sweep_number</t>
  </si>
  <si>
    <t>SpectralRegDef2</t>
  </si>
  <si>
    <t>ピークスイープ積算回数</t>
  </si>
  <si>
    <t>Peak Sweep Number</t>
  </si>
  <si>
    <t>total_acquisition_number</t>
  </si>
  <si>
    <t>総積算回数</t>
  </si>
  <si>
    <t>Total Acquisition Number</t>
  </si>
  <si>
    <t>xray_source</t>
  </si>
  <si>
    <t>XraySource</t>
  </si>
  <si>
    <t>X線源</t>
  </si>
  <si>
    <t>Xray Source</t>
  </si>
  <si>
    <t>XrayPower</t>
  </si>
  <si>
    <t>xray_beam_diameter</t>
  </si>
  <si>
    <t>XrayBeamDiameter</t>
  </si>
  <si>
    <t>X線ビーム径</t>
  </si>
  <si>
    <t>Xray Beam Diameter</t>
  </si>
  <si>
    <t>AnalyserMode</t>
  </si>
  <si>
    <t>AnalyserWorkFcn</t>
  </si>
  <si>
    <t>SourceAnalyserAngle</t>
  </si>
  <si>
    <t>AnalyserSolidAngle</t>
  </si>
  <si>
    <t>analysis_region</t>
  </si>
  <si>
    <t>ImageSizeXY</t>
  </si>
  <si>
    <t>測定領域設定</t>
  </si>
  <si>
    <t>Analysis Region</t>
  </si>
  <si>
    <t>SpatialAreaDesc</t>
  </si>
  <si>
    <t>kV</t>
  </si>
  <si>
    <t>mm</t>
  </si>
  <si>
    <t>min</t>
  </si>
  <si>
    <t>flood_gun_voltage</t>
  </si>
  <si>
    <t>中和電子銃の加速電圧</t>
  </si>
  <si>
    <t>Flood Gun Voltage</t>
  </si>
  <si>
    <t>flood_gun_emission_current</t>
  </si>
  <si>
    <t>中和電子銃の電流</t>
  </si>
  <si>
    <t>Flood Gun Emission Current</t>
  </si>
  <si>
    <t>uA</t>
  </si>
  <si>
    <t>ion_gun_voltage</t>
  </si>
  <si>
    <t>中和イオン銃の加速電圧</t>
  </si>
  <si>
    <t>Ion Gun Voltage</t>
  </si>
  <si>
    <t>analysis_field</t>
  </si>
  <si>
    <t>sample_position</t>
  </si>
  <si>
    <t>試料位置</t>
  </si>
  <si>
    <t>Sample Position</t>
  </si>
  <si>
    <t>sample_condition</t>
  </si>
  <si>
    <t>試料状態</t>
  </si>
  <si>
    <t>Sample Condition</t>
  </si>
  <si>
    <t>no3dimage</t>
  </si>
  <si>
    <t>3D画像を作成しない(ang, proの場合のみ有効)</t>
  </si>
  <si>
    <t>Not Create 3D Image (only for ang or pro)</t>
  </si>
  <si>
    <t>list</t>
  </si>
  <si>
    <t>0,1</t>
    <phoneticPr fontId="2"/>
  </si>
  <si>
    <t>装置情報から自動取得します</t>
  </si>
  <si>
    <t>Automatically get from device output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</si>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</sst>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1623</v>
      </c>
      <c r="C1" s="22" t="s">
        <v>1384</v>
      </c>
    </row>
    <row r="2" spans="1:3" ht="18">
      <c r="A2" s="1" t="s">
        <v>1385</v>
      </c>
      <c r="B2" s="9" t="s">
        <v>1623</v>
      </c>
      <c r="C2" s="22" t="s">
        <v>1384</v>
      </c>
    </row>
    <row r="3" spans="1:3" ht="18">
      <c r="A3" s="1" t="s">
        <v>1386</v>
      </c>
      <c r="B3" s="9" t="s">
        <v>1623</v>
      </c>
      <c r="C3" s="22" t="s">
        <v>1387</v>
      </c>
    </row>
    <row r="4" spans="1:3">
      <c r="A4" s="1" t="s">
        <v>1388</v>
      </c>
      <c r="B4" s="22" t="s">
        <v>1624</v>
      </c>
      <c r="C4" s="22"/>
    </row>
    <row r="5" spans="1:3" ht="18">
      <c r="A5" s="21"/>
    </row>
    <row r="6" spans="1:3">
      <c r="A6" s="1" t="s">
        <v>1389</v>
      </c>
      <c r="B6" s="30">
        <v>46028</v>
      </c>
      <c r="C6" s="22"/>
    </row>
    <row r="7" spans="1:3">
      <c r="A7" s="1" t="s">
        <v>1390</v>
      </c>
      <c r="B7" s="22" t="s">
        <v>1467</v>
      </c>
      <c r="C7" s="22"/>
    </row>
    <row r="8" spans="1:3">
      <c r="A8" s="1" t="s">
        <v>1391</v>
      </c>
      <c r="B8" s="30">
        <v>46028</v>
      </c>
      <c r="C8" s="22"/>
    </row>
    <row r="9" spans="1:3">
      <c r="A9" s="1" t="s">
        <v>1392</v>
      </c>
      <c r="B9" s="22" t="s">
        <v>1467</v>
      </c>
      <c r="C9" s="22"/>
    </row>
    <row r="13" spans="1:3">
      <c r="A13" t="s">
        <v>1466</v>
      </c>
    </row>
    <row r="15" spans="1:3" ht="18" thickBot="1"/>
    <row r="16" spans="1:3" ht="18" thickTop="1">
      <c r="A16" s="31" t="s">
        <v>1452</v>
      </c>
      <c r="B16" s="32"/>
    </row>
    <row r="17" spans="1:2">
      <c r="A17" s="33"/>
      <c r="B17" s="34"/>
    </row>
    <row r="18" spans="1:2">
      <c r="A18" s="33" t="s">
        <v>1453</v>
      </c>
      <c r="B18" s="34"/>
    </row>
    <row r="19" spans="1:2">
      <c r="A19" s="33" t="s">
        <v>1454</v>
      </c>
      <c r="B19" s="34"/>
    </row>
    <row r="20" spans="1:2">
      <c r="A20" s="33"/>
      <c r="B20" s="34"/>
    </row>
    <row r="21" spans="1:2">
      <c r="A21" s="33" t="s">
        <v>1455</v>
      </c>
      <c r="B21" s="34"/>
    </row>
    <row r="22" spans="1:2">
      <c r="A22" s="33" t="s">
        <v>1456</v>
      </c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/>
      <c r="B25" s="34"/>
    </row>
    <row r="26" spans="1:2">
      <c r="A26" s="33" t="s">
        <v>1459</v>
      </c>
      <c r="B26" s="34"/>
    </row>
    <row r="27" spans="1:2">
      <c r="A27" s="33"/>
      <c r="B27" s="34"/>
    </row>
    <row r="28" spans="1:2">
      <c r="A28" s="35"/>
      <c r="B28" s="34" t="s">
        <v>1460</v>
      </c>
    </row>
    <row r="29" spans="1:2">
      <c r="A29" s="33"/>
      <c r="B29" s="34" t="s">
        <v>1461</v>
      </c>
    </row>
    <row r="30" spans="1:2">
      <c r="A30" s="36"/>
      <c r="B30" s="34" t="s">
        <v>1462</v>
      </c>
    </row>
    <row r="31" spans="1:2">
      <c r="A31" s="37"/>
      <c r="B31" s="34" t="s">
        <v>1463</v>
      </c>
    </row>
    <row r="32" spans="1:2">
      <c r="A32" s="33"/>
      <c r="B32" s="34"/>
    </row>
    <row r="33" spans="1:2">
      <c r="A33" s="33"/>
      <c r="B33" s="34"/>
    </row>
    <row r="34" spans="1:2">
      <c r="A34" s="33" t="s">
        <v>1464</v>
      </c>
      <c r="B34" s="34"/>
    </row>
    <row r="35" spans="1:2" ht="18" thickBot="1">
      <c r="A35" s="38" t="s">
        <v>1465</v>
      </c>
      <c r="B35" s="39"/>
    </row>
    <row r="36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56"/>
  <sheetViews>
    <sheetView zoomScale="85" zoomScaleNormal="85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J3" sqref="J3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1429</v>
      </c>
      <c r="E1" s="1" t="s">
        <v>1444</v>
      </c>
      <c r="F1" s="1" t="s">
        <v>1445</v>
      </c>
      <c r="G1" s="1" t="s">
        <v>23</v>
      </c>
      <c r="H1" s="1" t="s">
        <v>24</v>
      </c>
      <c r="I1" s="1" t="s">
        <v>26</v>
      </c>
      <c r="J1" s="1" t="s">
        <v>1393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1397</v>
      </c>
      <c r="C2" s="2" t="s">
        <v>47</v>
      </c>
      <c r="D2" s="2" t="s">
        <v>1449</v>
      </c>
      <c r="E2" s="2" t="s">
        <v>1450</v>
      </c>
      <c r="F2" s="2" t="s">
        <v>1451</v>
      </c>
      <c r="G2" s="2" t="s">
        <v>48</v>
      </c>
      <c r="H2" s="2" t="s">
        <v>49</v>
      </c>
      <c r="I2" s="2" t="s">
        <v>46</v>
      </c>
      <c r="J2" s="2" t="s">
        <v>1396</v>
      </c>
      <c r="K2" s="2" t="s">
        <v>1394</v>
      </c>
      <c r="L2" s="2" t="s">
        <v>1395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 ht="16" customHeight="1">
      <c r="A3" s="41" t="s">
        <v>1427</v>
      </c>
      <c r="B3" s="3" t="s">
        <v>1402</v>
      </c>
      <c r="C3" s="9" t="s">
        <v>1625</v>
      </c>
      <c r="D3" s="5"/>
      <c r="E3" s="5"/>
      <c r="F3" s="5"/>
      <c r="G3" s="4" t="s">
        <v>1610</v>
      </c>
      <c r="H3" s="4" t="s">
        <v>1611</v>
      </c>
      <c r="I3" s="5"/>
      <c r="J3" s="6" t="s">
        <v>1730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>date-time</v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1402</v>
      </c>
      <c r="C4" s="9" t="s">
        <v>1626</v>
      </c>
      <c r="D4" s="5"/>
      <c r="E4" s="5"/>
      <c r="F4" s="5"/>
      <c r="G4" s="4" t="s">
        <v>1479</v>
      </c>
      <c r="H4" s="4" t="s">
        <v>1480</v>
      </c>
      <c r="I4" s="5"/>
      <c r="J4" s="6" t="s">
        <v>4</v>
      </c>
      <c r="K4" s="23" t="str">
        <f t="shared" ref="K4:K55" si="0">_xlfn.IFS(J4="integer","integer",J4="number","number",J4="array","array",J4="boolean","boolean",TRUE,"string")</f>
        <v>string</v>
      </c>
      <c r="L4" s="23" t="str">
        <f t="shared" ref="L4:L55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1402</v>
      </c>
      <c r="C5" s="9" t="s">
        <v>1493</v>
      </c>
      <c r="D5" s="5"/>
      <c r="E5" s="5"/>
      <c r="F5" s="5"/>
      <c r="G5" s="4" t="s">
        <v>1494</v>
      </c>
      <c r="H5" s="4" t="s">
        <v>1495</v>
      </c>
      <c r="I5" s="5"/>
      <c r="J5" s="6" t="s">
        <v>4</v>
      </c>
      <c r="K5" s="23" t="str">
        <f t="shared" ref="K5:K26" si="2">_xlfn.IFS(J5="integer","integer",J5="number","number",J5="array","array",J5="boolean","boolean",TRUE,"string")</f>
        <v>string</v>
      </c>
      <c r="L5" s="23" t="str">
        <f t="shared" ref="L5:L26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1402</v>
      </c>
      <c r="C6" s="9" t="s">
        <v>1496</v>
      </c>
      <c r="D6" s="5"/>
      <c r="E6" s="5" t="s">
        <v>1627</v>
      </c>
      <c r="F6" s="5"/>
      <c r="G6" s="4" t="s">
        <v>1497</v>
      </c>
      <c r="H6" s="4" t="s">
        <v>1498</v>
      </c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1402</v>
      </c>
      <c r="C7" s="9" t="s">
        <v>1628</v>
      </c>
      <c r="D7" s="5"/>
      <c r="E7" s="5"/>
      <c r="F7" s="5"/>
      <c r="G7" s="4" t="s">
        <v>1629</v>
      </c>
      <c r="H7" s="4" t="s">
        <v>1630</v>
      </c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1402</v>
      </c>
      <c r="C8" s="9" t="s">
        <v>1631</v>
      </c>
      <c r="D8" s="5"/>
      <c r="E8" s="5" t="s">
        <v>1632</v>
      </c>
      <c r="F8" s="5"/>
      <c r="G8" s="4" t="s">
        <v>1499</v>
      </c>
      <c r="H8" s="4" t="s">
        <v>1633</v>
      </c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1402</v>
      </c>
      <c r="C9" s="9" t="s">
        <v>1500</v>
      </c>
      <c r="D9" s="5"/>
      <c r="E9" s="5" t="s">
        <v>1634</v>
      </c>
      <c r="F9" s="5"/>
      <c r="G9" s="4" t="s">
        <v>1501</v>
      </c>
      <c r="H9" s="4" t="s">
        <v>1502</v>
      </c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1402</v>
      </c>
      <c r="C10" s="9" t="s">
        <v>1503</v>
      </c>
      <c r="D10" s="5"/>
      <c r="E10" s="5" t="s">
        <v>1635</v>
      </c>
      <c r="F10" s="5"/>
      <c r="G10" s="4" t="s">
        <v>1504</v>
      </c>
      <c r="H10" s="4" t="s">
        <v>1505</v>
      </c>
      <c r="I10" s="5"/>
      <c r="J10" s="6" t="s">
        <v>4</v>
      </c>
      <c r="K10" s="23" t="str">
        <f t="shared" ref="K10:K19" si="4">_xlfn.IFS(J10="integer","integer",J10="number","number",J10="array","array",J10="boolean","boolean",TRUE,"string")</f>
        <v>string</v>
      </c>
      <c r="L10" s="23" t="str">
        <f t="shared" ref="L10:L19" si="5">_xlfn.IFS(J10="datetime","date-time",J10="duration","duration",TRUE,"")</f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1402</v>
      </c>
      <c r="C11" s="9" t="s">
        <v>1506</v>
      </c>
      <c r="D11" s="5"/>
      <c r="E11" s="5" t="s">
        <v>1636</v>
      </c>
      <c r="F11" s="5"/>
      <c r="G11" s="4" t="s">
        <v>1507</v>
      </c>
      <c r="H11" s="4" t="s">
        <v>1508</v>
      </c>
      <c r="I11" s="5"/>
      <c r="J11" s="6" t="s">
        <v>4</v>
      </c>
      <c r="K11" s="23" t="str">
        <f t="shared" si="4"/>
        <v>string</v>
      </c>
      <c r="L11" s="23" t="str">
        <f t="shared" si="5"/>
        <v/>
      </c>
      <c r="M11" s="20"/>
      <c r="N11" s="20"/>
      <c r="O11" s="20"/>
      <c r="P11" s="20"/>
      <c r="Q11" s="20"/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1402</v>
      </c>
      <c r="C12" s="9" t="s">
        <v>1637</v>
      </c>
      <c r="D12" s="5"/>
      <c r="E12" s="5" t="s">
        <v>1638</v>
      </c>
      <c r="F12" s="5"/>
      <c r="G12" s="4" t="s">
        <v>1639</v>
      </c>
      <c r="H12" s="4" t="s">
        <v>1640</v>
      </c>
      <c r="I12" s="5"/>
      <c r="J12" s="6" t="s">
        <v>4</v>
      </c>
      <c r="K12" s="23" t="str">
        <f t="shared" si="4"/>
        <v>string</v>
      </c>
      <c r="L12" s="23" t="str">
        <f t="shared" si="5"/>
        <v/>
      </c>
      <c r="M12" s="20"/>
      <c r="N12" s="20"/>
      <c r="O12" s="20"/>
      <c r="P12" s="20"/>
      <c r="Q12" s="20"/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1402</v>
      </c>
      <c r="C13" s="9" t="s">
        <v>1641</v>
      </c>
      <c r="D13" s="5"/>
      <c r="E13" s="5" t="s">
        <v>1642</v>
      </c>
      <c r="F13" s="5" t="s">
        <v>1469</v>
      </c>
      <c r="G13" s="4" t="s">
        <v>1643</v>
      </c>
      <c r="H13" s="4" t="s">
        <v>1644</v>
      </c>
      <c r="I13" s="5"/>
      <c r="J13" s="6" t="s">
        <v>4</v>
      </c>
      <c r="K13" s="23" t="str">
        <f t="shared" si="4"/>
        <v>string</v>
      </c>
      <c r="L13" s="23" t="str">
        <f t="shared" si="5"/>
        <v/>
      </c>
      <c r="M13" s="20" t="s">
        <v>1703</v>
      </c>
      <c r="N13" s="20"/>
      <c r="O13" s="20"/>
      <c r="P13" s="20"/>
      <c r="Q13" s="20"/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1402</v>
      </c>
      <c r="C14" s="9" t="s">
        <v>1645</v>
      </c>
      <c r="D14" s="5"/>
      <c r="E14" s="5" t="s">
        <v>1646</v>
      </c>
      <c r="F14" s="5"/>
      <c r="G14" s="4" t="s">
        <v>1647</v>
      </c>
      <c r="H14" s="4" t="s">
        <v>1648</v>
      </c>
      <c r="I14" s="5"/>
      <c r="J14" s="6" t="s">
        <v>4</v>
      </c>
      <c r="K14" s="23" t="str">
        <f t="shared" si="4"/>
        <v>string</v>
      </c>
      <c r="L14" s="23" t="str">
        <f t="shared" si="5"/>
        <v/>
      </c>
      <c r="M14" s="20" t="s">
        <v>1704</v>
      </c>
      <c r="N14" s="20"/>
      <c r="O14" s="20"/>
      <c r="P14" s="20"/>
      <c r="Q14" s="20"/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1402</v>
      </c>
      <c r="C15" s="9" t="s">
        <v>1649</v>
      </c>
      <c r="D15" s="5"/>
      <c r="E15" s="5" t="s">
        <v>1650</v>
      </c>
      <c r="F15" s="5"/>
      <c r="G15" s="4" t="s">
        <v>1651</v>
      </c>
      <c r="H15" s="4" t="s">
        <v>1652</v>
      </c>
      <c r="I15" s="5"/>
      <c r="J15" s="6" t="s">
        <v>4</v>
      </c>
      <c r="K15" s="23" t="str">
        <f t="shared" si="4"/>
        <v>string</v>
      </c>
      <c r="L15" s="23" t="str">
        <f t="shared" si="5"/>
        <v/>
      </c>
      <c r="M15" s="20"/>
      <c r="N15" s="20"/>
      <c r="O15" s="20"/>
      <c r="P15" s="20"/>
      <c r="Q15" s="20"/>
      <c r="R15" s="20"/>
      <c r="S15" s="2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>
      <c r="A16" s="41"/>
      <c r="B16" s="3" t="s">
        <v>1402</v>
      </c>
      <c r="C16" s="9" t="s">
        <v>1653</v>
      </c>
      <c r="D16" s="5"/>
      <c r="E16" s="5" t="s">
        <v>1654</v>
      </c>
      <c r="F16" s="5" t="s">
        <v>1469</v>
      </c>
      <c r="G16" s="4" t="s">
        <v>1655</v>
      </c>
      <c r="H16" s="4" t="s">
        <v>1656</v>
      </c>
      <c r="I16" s="5"/>
      <c r="J16" s="6" t="s">
        <v>4</v>
      </c>
      <c r="K16" s="23" t="str">
        <f t="shared" si="4"/>
        <v>string</v>
      </c>
      <c r="L16" s="23" t="str">
        <f t="shared" si="5"/>
        <v/>
      </c>
      <c r="M16" s="20"/>
      <c r="N16" s="20"/>
      <c r="O16" s="20"/>
      <c r="P16" s="20"/>
      <c r="Q16" s="20"/>
      <c r="R16" s="20"/>
      <c r="S16" s="2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>
      <c r="A17" s="41"/>
      <c r="B17" s="3" t="s">
        <v>1402</v>
      </c>
      <c r="C17" s="9" t="s">
        <v>1657</v>
      </c>
      <c r="D17" s="5"/>
      <c r="E17" s="5" t="s">
        <v>1658</v>
      </c>
      <c r="F17" s="5" t="s">
        <v>1469</v>
      </c>
      <c r="G17" s="4" t="s">
        <v>1659</v>
      </c>
      <c r="H17" s="4" t="s">
        <v>1660</v>
      </c>
      <c r="I17" s="5"/>
      <c r="J17" s="6" t="s">
        <v>4</v>
      </c>
      <c r="K17" s="23" t="str">
        <f t="shared" si="4"/>
        <v>string</v>
      </c>
      <c r="L17" s="23" t="str">
        <f t="shared" si="5"/>
        <v/>
      </c>
      <c r="M17" s="20" t="s">
        <v>1588</v>
      </c>
      <c r="N17" s="20"/>
      <c r="O17" s="20"/>
      <c r="P17" s="20"/>
      <c r="Q17" s="20"/>
      <c r="R17" s="20"/>
      <c r="S17" s="2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>
      <c r="A18" s="41"/>
      <c r="B18" s="3" t="s">
        <v>1402</v>
      </c>
      <c r="C18" s="9" t="s">
        <v>1661</v>
      </c>
      <c r="D18" s="5"/>
      <c r="E18" s="5"/>
      <c r="F18" s="5" t="s">
        <v>1469</v>
      </c>
      <c r="G18" s="4" t="s">
        <v>1662</v>
      </c>
      <c r="H18" s="4" t="s">
        <v>1663</v>
      </c>
      <c r="I18" s="5"/>
      <c r="J18" s="6" t="s">
        <v>4</v>
      </c>
      <c r="K18" s="23" t="str">
        <f t="shared" si="4"/>
        <v>string</v>
      </c>
      <c r="L18" s="23" t="str">
        <f t="shared" si="5"/>
        <v/>
      </c>
      <c r="M18" s="20"/>
      <c r="N18" s="20"/>
      <c r="O18" s="20"/>
      <c r="P18" s="20"/>
      <c r="Q18" s="20"/>
      <c r="R18" s="20"/>
      <c r="S18" s="2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>
      <c r="A19" s="41"/>
      <c r="B19" s="3" t="s">
        <v>1402</v>
      </c>
      <c r="C19" s="9" t="s">
        <v>1664</v>
      </c>
      <c r="D19" s="5"/>
      <c r="E19" s="5"/>
      <c r="F19" s="5"/>
      <c r="G19" s="4" t="s">
        <v>1665</v>
      </c>
      <c r="H19" s="4" t="s">
        <v>1666</v>
      </c>
      <c r="I19" s="5"/>
      <c r="J19" s="6" t="s">
        <v>4</v>
      </c>
      <c r="K19" s="23" t="str">
        <f t="shared" si="4"/>
        <v>string</v>
      </c>
      <c r="L19" s="23" t="str">
        <f t="shared" si="5"/>
        <v/>
      </c>
      <c r="M19" s="20"/>
      <c r="N19" s="20"/>
      <c r="O19" s="20"/>
      <c r="P19" s="20"/>
      <c r="Q19" s="20">
        <v>1</v>
      </c>
      <c r="R19" s="20"/>
      <c r="S19" s="2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>
      <c r="A20" s="41"/>
      <c r="B20" s="3" t="s">
        <v>1402</v>
      </c>
      <c r="C20" s="9" t="s">
        <v>1667</v>
      </c>
      <c r="D20" s="5"/>
      <c r="E20" s="5"/>
      <c r="F20" s="5"/>
      <c r="G20" s="4" t="s">
        <v>1668</v>
      </c>
      <c r="H20" s="4" t="s">
        <v>1669</v>
      </c>
      <c r="I20" s="5"/>
      <c r="J20" s="6" t="s">
        <v>4</v>
      </c>
      <c r="K20" s="23" t="str">
        <f t="shared" ref="K20:K23" si="6">_xlfn.IFS(J20="integer","integer",J20="number","number",J20="array","array",J20="boolean","boolean",TRUE,"string")</f>
        <v>string</v>
      </c>
      <c r="L20" s="23" t="str">
        <f t="shared" ref="L20:L23" si="7">_xlfn.IFS(J20="datetime","date-time",J20="duration","duration",TRUE,"")</f>
        <v/>
      </c>
      <c r="M20" s="20"/>
      <c r="N20" s="20"/>
      <c r="O20" s="20"/>
      <c r="P20" s="20"/>
      <c r="Q20" s="20">
        <v>1</v>
      </c>
      <c r="R20" s="20"/>
      <c r="S20" s="2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>
      <c r="A21" s="41"/>
      <c r="B21" s="3" t="s">
        <v>1402</v>
      </c>
      <c r="C21" s="9" t="s">
        <v>1670</v>
      </c>
      <c r="D21" s="5"/>
      <c r="E21" s="5"/>
      <c r="F21" s="5" t="s">
        <v>1469</v>
      </c>
      <c r="G21" s="4" t="s">
        <v>1671</v>
      </c>
      <c r="H21" s="4" t="s">
        <v>1672</v>
      </c>
      <c r="I21" s="5"/>
      <c r="J21" s="6" t="s">
        <v>4</v>
      </c>
      <c r="K21" s="23" t="str">
        <f t="shared" si="6"/>
        <v>string</v>
      </c>
      <c r="L21" s="23" t="str">
        <f t="shared" si="7"/>
        <v/>
      </c>
      <c r="M21" s="20" t="s">
        <v>1705</v>
      </c>
      <c r="N21" s="20"/>
      <c r="O21" s="20"/>
      <c r="P21" s="20"/>
      <c r="Q21" s="20">
        <v>1</v>
      </c>
      <c r="R21" s="20"/>
      <c r="S21" s="2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>
      <c r="A22" s="41"/>
      <c r="B22" s="3" t="s">
        <v>1402</v>
      </c>
      <c r="C22" s="9" t="s">
        <v>1673</v>
      </c>
      <c r="D22" s="5"/>
      <c r="E22" s="5"/>
      <c r="F22" s="5" t="s">
        <v>1469</v>
      </c>
      <c r="G22" s="4" t="s">
        <v>1674</v>
      </c>
      <c r="H22" s="4" t="s">
        <v>1675</v>
      </c>
      <c r="I22" s="5"/>
      <c r="J22" s="6" t="s">
        <v>4</v>
      </c>
      <c r="K22" s="23" t="str">
        <f t="shared" si="6"/>
        <v>string</v>
      </c>
      <c r="L22" s="23" t="str">
        <f t="shared" si="7"/>
        <v/>
      </c>
      <c r="M22" s="20"/>
      <c r="N22" s="20"/>
      <c r="O22" s="20"/>
      <c r="P22" s="20"/>
      <c r="Q22" s="20">
        <v>1</v>
      </c>
      <c r="R22" s="20"/>
      <c r="S22" s="2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>
      <c r="A23" s="41"/>
      <c r="B23" s="3" t="s">
        <v>1402</v>
      </c>
      <c r="C23" s="9" t="s">
        <v>1575</v>
      </c>
      <c r="D23" s="5"/>
      <c r="E23" s="5"/>
      <c r="F23" s="5" t="s">
        <v>1469</v>
      </c>
      <c r="G23" s="4" t="s">
        <v>1576</v>
      </c>
      <c r="H23" s="4" t="s">
        <v>1577</v>
      </c>
      <c r="I23" s="5"/>
      <c r="J23" s="6" t="s">
        <v>4</v>
      </c>
      <c r="K23" s="23" t="str">
        <f t="shared" si="6"/>
        <v>string</v>
      </c>
      <c r="L23" s="23" t="str">
        <f t="shared" si="7"/>
        <v/>
      </c>
      <c r="M23" s="20" t="s">
        <v>1590</v>
      </c>
      <c r="N23" s="20"/>
      <c r="O23" s="20"/>
      <c r="P23" s="20"/>
      <c r="Q23" s="20">
        <v>1</v>
      </c>
      <c r="R23" s="20"/>
      <c r="S23" s="2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>
      <c r="A24" s="41"/>
      <c r="B24" s="3" t="s">
        <v>1402</v>
      </c>
      <c r="C24" s="9" t="s">
        <v>1578</v>
      </c>
      <c r="D24" s="5"/>
      <c r="E24" s="5"/>
      <c r="F24" s="5" t="s">
        <v>1469</v>
      </c>
      <c r="G24" s="4" t="s">
        <v>1579</v>
      </c>
      <c r="H24" s="4" t="s">
        <v>1580</v>
      </c>
      <c r="I24" s="5"/>
      <c r="J24" s="6" t="s">
        <v>4</v>
      </c>
      <c r="K24" s="23" t="str">
        <f t="shared" si="2"/>
        <v>string</v>
      </c>
      <c r="L24" s="23" t="str">
        <f t="shared" si="3"/>
        <v/>
      </c>
      <c r="M24" s="20" t="s">
        <v>1590</v>
      </c>
      <c r="N24" s="20"/>
      <c r="O24" s="20"/>
      <c r="P24" s="20"/>
      <c r="Q24" s="20">
        <v>1</v>
      </c>
      <c r="R24" s="20"/>
      <c r="S24" s="2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>
      <c r="A25" s="41"/>
      <c r="B25" s="3" t="s">
        <v>1402</v>
      </c>
      <c r="C25" s="9" t="s">
        <v>1581</v>
      </c>
      <c r="D25" s="5"/>
      <c r="E25" s="5"/>
      <c r="F25" s="5" t="s">
        <v>1469</v>
      </c>
      <c r="G25" s="4" t="s">
        <v>1582</v>
      </c>
      <c r="H25" s="4" t="s">
        <v>1583</v>
      </c>
      <c r="I25" s="5"/>
      <c r="J25" s="6" t="s">
        <v>4</v>
      </c>
      <c r="K25" s="23" t="str">
        <f t="shared" si="2"/>
        <v>string</v>
      </c>
      <c r="L25" s="23" t="str">
        <f t="shared" si="3"/>
        <v/>
      </c>
      <c r="M25" s="20" t="s">
        <v>1590</v>
      </c>
      <c r="N25" s="20"/>
      <c r="O25" s="20"/>
      <c r="P25" s="20"/>
      <c r="Q25" s="20">
        <v>1</v>
      </c>
      <c r="R25" s="20"/>
      <c r="S25" s="2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>
      <c r="A26" s="41"/>
      <c r="B26" s="3" t="s">
        <v>1402</v>
      </c>
      <c r="C26" s="9" t="s">
        <v>1509</v>
      </c>
      <c r="D26" s="5"/>
      <c r="E26" s="5" t="s">
        <v>1676</v>
      </c>
      <c r="F26" s="5"/>
      <c r="G26" s="4" t="s">
        <v>1510</v>
      </c>
      <c r="H26" s="4" t="s">
        <v>1511</v>
      </c>
      <c r="I26" s="5"/>
      <c r="J26" s="6" t="s">
        <v>4</v>
      </c>
      <c r="K26" s="23" t="str">
        <f t="shared" si="2"/>
        <v>string</v>
      </c>
      <c r="L26" s="23" t="str">
        <f t="shared" si="3"/>
        <v/>
      </c>
      <c r="M26" s="20"/>
      <c r="N26" s="20"/>
      <c r="O26" s="20"/>
      <c r="P26" s="20"/>
      <c r="Q26" s="20">
        <v>1</v>
      </c>
      <c r="R26" s="20"/>
      <c r="S26" s="2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>
      <c r="A27" s="41"/>
      <c r="B27" s="3" t="s">
        <v>1402</v>
      </c>
      <c r="C27" s="9" t="s">
        <v>1512</v>
      </c>
      <c r="D27" s="5"/>
      <c r="E27" s="5"/>
      <c r="F27" s="5"/>
      <c r="G27" s="4" t="s">
        <v>1513</v>
      </c>
      <c r="H27" s="4" t="s">
        <v>1514</v>
      </c>
      <c r="I27" s="5"/>
      <c r="J27" s="6" t="s">
        <v>4</v>
      </c>
      <c r="K27" s="23" t="str">
        <f t="shared" ref="K27:K46" si="8">_xlfn.IFS(J27="integer","integer",J27="number","number",J27="array","array",J27="boolean","boolean",TRUE,"string")</f>
        <v>string</v>
      </c>
      <c r="L27" s="23" t="str">
        <f t="shared" ref="L27:L46" si="9">_xlfn.IFS(J27="datetime","date-time",J27="duration","duration",TRUE,"")</f>
        <v/>
      </c>
      <c r="M27" s="20"/>
      <c r="N27" s="20"/>
      <c r="O27" s="20"/>
      <c r="P27" s="20"/>
      <c r="Q27" s="20">
        <v>1</v>
      </c>
      <c r="R27" s="20"/>
      <c r="S27" s="2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spans="1:30">
      <c r="A28" s="41"/>
      <c r="B28" s="3" t="s">
        <v>1402</v>
      </c>
      <c r="C28" s="9" t="s">
        <v>1515</v>
      </c>
      <c r="D28" s="5"/>
      <c r="E28" s="5" t="s">
        <v>1676</v>
      </c>
      <c r="F28" s="5" t="s">
        <v>1469</v>
      </c>
      <c r="G28" s="4" t="s">
        <v>1516</v>
      </c>
      <c r="H28" s="4" t="s">
        <v>1517</v>
      </c>
      <c r="I28" s="5"/>
      <c r="J28" s="6" t="s">
        <v>4</v>
      </c>
      <c r="K28" s="23" t="str">
        <f t="shared" si="8"/>
        <v>string</v>
      </c>
      <c r="L28" s="23" t="str">
        <f t="shared" si="9"/>
        <v/>
      </c>
      <c r="M28" s="20" t="s">
        <v>1587</v>
      </c>
      <c r="N28" s="20"/>
      <c r="O28" s="20"/>
      <c r="P28" s="20"/>
      <c r="Q28" s="20">
        <v>1</v>
      </c>
      <c r="R28" s="20"/>
      <c r="S28" s="2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spans="1:30">
      <c r="A29" s="41"/>
      <c r="B29" s="3" t="s">
        <v>1402</v>
      </c>
      <c r="C29" s="9" t="s">
        <v>1518</v>
      </c>
      <c r="D29" s="5"/>
      <c r="E29" s="5" t="s">
        <v>1676</v>
      </c>
      <c r="F29" s="5" t="s">
        <v>1469</v>
      </c>
      <c r="G29" s="4" t="s">
        <v>1519</v>
      </c>
      <c r="H29" s="4" t="s">
        <v>1520</v>
      </c>
      <c r="I29" s="5"/>
      <c r="J29" s="6" t="s">
        <v>4</v>
      </c>
      <c r="K29" s="23" t="str">
        <f t="shared" si="8"/>
        <v>string</v>
      </c>
      <c r="L29" s="23" t="str">
        <f t="shared" si="9"/>
        <v/>
      </c>
      <c r="M29" s="20" t="s">
        <v>1587</v>
      </c>
      <c r="N29" s="20"/>
      <c r="O29" s="20"/>
      <c r="P29" s="20"/>
      <c r="Q29" s="20">
        <v>1</v>
      </c>
      <c r="R29" s="20"/>
      <c r="S29" s="2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0">
      <c r="A30" s="41"/>
      <c r="B30" s="3" t="s">
        <v>1402</v>
      </c>
      <c r="C30" s="9" t="s">
        <v>1521</v>
      </c>
      <c r="D30" s="5"/>
      <c r="E30" s="5" t="s">
        <v>1676</v>
      </c>
      <c r="F30" s="5" t="s">
        <v>1469</v>
      </c>
      <c r="G30" s="4" t="s">
        <v>1522</v>
      </c>
      <c r="H30" s="4" t="s">
        <v>1523</v>
      </c>
      <c r="I30" s="5"/>
      <c r="J30" s="6" t="s">
        <v>4</v>
      </c>
      <c r="K30" s="23" t="str">
        <f t="shared" si="8"/>
        <v>string</v>
      </c>
      <c r="L30" s="23" t="str">
        <f t="shared" si="9"/>
        <v/>
      </c>
      <c r="M30" s="20" t="s">
        <v>1587</v>
      </c>
      <c r="N30" s="20"/>
      <c r="O30" s="20"/>
      <c r="P30" s="20"/>
      <c r="Q30" s="20">
        <v>1</v>
      </c>
      <c r="R30" s="20"/>
      <c r="S30" s="2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spans="1:30">
      <c r="A31" s="41"/>
      <c r="B31" s="3" t="s">
        <v>1402</v>
      </c>
      <c r="C31" s="9" t="s">
        <v>1524</v>
      </c>
      <c r="D31" s="5"/>
      <c r="E31" s="5" t="s">
        <v>1676</v>
      </c>
      <c r="F31" s="5" t="s">
        <v>1469</v>
      </c>
      <c r="G31" s="4" t="s">
        <v>1525</v>
      </c>
      <c r="H31" s="4" t="s">
        <v>1526</v>
      </c>
      <c r="I31" s="5"/>
      <c r="J31" s="6" t="s">
        <v>4</v>
      </c>
      <c r="K31" s="23" t="str">
        <f t="shared" si="8"/>
        <v>string</v>
      </c>
      <c r="L31" s="23" t="str">
        <f t="shared" si="9"/>
        <v/>
      </c>
      <c r="M31" s="20" t="s">
        <v>1587</v>
      </c>
      <c r="N31" s="20"/>
      <c r="O31" s="20"/>
      <c r="P31" s="20"/>
      <c r="Q31" s="20">
        <v>1</v>
      </c>
      <c r="R31" s="20"/>
      <c r="S31" s="2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>
      <c r="A32" s="41"/>
      <c r="B32" s="3" t="s">
        <v>1402</v>
      </c>
      <c r="C32" s="9" t="s">
        <v>1527</v>
      </c>
      <c r="D32" s="5"/>
      <c r="E32" s="5" t="s">
        <v>1676</v>
      </c>
      <c r="F32" s="5" t="s">
        <v>1469</v>
      </c>
      <c r="G32" s="4" t="s">
        <v>1528</v>
      </c>
      <c r="H32" s="4" t="s">
        <v>1529</v>
      </c>
      <c r="I32" s="5"/>
      <c r="J32" s="6" t="s">
        <v>4</v>
      </c>
      <c r="K32" s="23" t="str">
        <f t="shared" si="8"/>
        <v>string</v>
      </c>
      <c r="L32" s="23" t="str">
        <f t="shared" si="9"/>
        <v/>
      </c>
      <c r="M32" s="20" t="s">
        <v>1588</v>
      </c>
      <c r="N32" s="20"/>
      <c r="O32" s="20"/>
      <c r="P32" s="20"/>
      <c r="Q32" s="20">
        <v>1</v>
      </c>
      <c r="R32" s="20"/>
      <c r="S32" s="2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spans="1:30">
      <c r="A33" s="41"/>
      <c r="B33" s="3" t="s">
        <v>1402</v>
      </c>
      <c r="C33" s="9" t="s">
        <v>1530</v>
      </c>
      <c r="D33" s="5"/>
      <c r="E33" s="5" t="s">
        <v>1677</v>
      </c>
      <c r="F33" s="5" t="s">
        <v>1469</v>
      </c>
      <c r="G33" s="4" t="s">
        <v>1531</v>
      </c>
      <c r="H33" s="4" t="s">
        <v>1532</v>
      </c>
      <c r="I33" s="5"/>
      <c r="J33" s="6" t="s">
        <v>4</v>
      </c>
      <c r="K33" s="23" t="str">
        <f t="shared" si="8"/>
        <v>string</v>
      </c>
      <c r="L33" s="23" t="str">
        <f t="shared" si="9"/>
        <v/>
      </c>
      <c r="M33" s="20"/>
      <c r="N33" s="20"/>
      <c r="O33" s="20"/>
      <c r="P33" s="20"/>
      <c r="Q33" s="20">
        <v>1</v>
      </c>
      <c r="R33" s="20"/>
      <c r="S33" s="2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>
      <c r="A34" s="41"/>
      <c r="B34" s="3" t="s">
        <v>1402</v>
      </c>
      <c r="C34" s="9" t="s">
        <v>1678</v>
      </c>
      <c r="D34" s="5"/>
      <c r="E34" s="5" t="s">
        <v>1679</v>
      </c>
      <c r="F34" s="5" t="s">
        <v>1469</v>
      </c>
      <c r="G34" s="4" t="s">
        <v>1680</v>
      </c>
      <c r="H34" s="4" t="s">
        <v>1681</v>
      </c>
      <c r="I34" s="5"/>
      <c r="J34" s="6" t="s">
        <v>4</v>
      </c>
      <c r="K34" s="23" t="str">
        <f t="shared" si="8"/>
        <v>string</v>
      </c>
      <c r="L34" s="23" t="str">
        <f t="shared" si="9"/>
        <v/>
      </c>
      <c r="M34" s="20"/>
      <c r="N34" s="20"/>
      <c r="O34" s="20"/>
      <c r="P34" s="20"/>
      <c r="Q34" s="20">
        <v>1</v>
      </c>
      <c r="R34" s="20"/>
      <c r="S34" s="2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>
      <c r="A35" s="41"/>
      <c r="B35" s="3" t="s">
        <v>1402</v>
      </c>
      <c r="C35" s="9" t="s">
        <v>1682</v>
      </c>
      <c r="D35" s="5"/>
      <c r="E35" s="5" t="s">
        <v>1679</v>
      </c>
      <c r="F35" s="5" t="s">
        <v>1469</v>
      </c>
      <c r="G35" s="4" t="s">
        <v>1683</v>
      </c>
      <c r="H35" s="4" t="s">
        <v>1684</v>
      </c>
      <c r="I35" s="5"/>
      <c r="J35" s="6" t="s">
        <v>4</v>
      </c>
      <c r="K35" s="23" t="str">
        <f t="shared" si="8"/>
        <v>string</v>
      </c>
      <c r="L35" s="23" t="str">
        <f t="shared" si="9"/>
        <v/>
      </c>
      <c r="M35" s="20"/>
      <c r="N35" s="20"/>
      <c r="O35" s="20"/>
      <c r="P35" s="20"/>
      <c r="Q35" s="20">
        <v>1</v>
      </c>
      <c r="R35" s="20"/>
      <c r="S35" s="2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spans="1:30">
      <c r="A36" s="41"/>
      <c r="B36" s="3" t="s">
        <v>1402</v>
      </c>
      <c r="C36" s="9" t="s">
        <v>1685</v>
      </c>
      <c r="D36" s="5"/>
      <c r="E36" s="5" t="s">
        <v>1686</v>
      </c>
      <c r="F36" s="5"/>
      <c r="G36" s="4" t="s">
        <v>1687</v>
      </c>
      <c r="H36" s="4" t="s">
        <v>1688</v>
      </c>
      <c r="I36" s="5"/>
      <c r="J36" s="6" t="s">
        <v>4</v>
      </c>
      <c r="K36" s="23" t="str">
        <f t="shared" si="8"/>
        <v>string</v>
      </c>
      <c r="L36" s="23" t="str">
        <f t="shared" si="9"/>
        <v/>
      </c>
      <c r="M36" s="20"/>
      <c r="N36" s="20"/>
      <c r="O36" s="20"/>
      <c r="P36" s="20"/>
      <c r="Q36" s="20">
        <v>1</v>
      </c>
      <c r="R36" s="20"/>
      <c r="S36" s="2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>
      <c r="A37" s="41"/>
      <c r="B37" s="3" t="s">
        <v>1402</v>
      </c>
      <c r="C37" s="9" t="s">
        <v>1533</v>
      </c>
      <c r="D37" s="5"/>
      <c r="E37" s="5" t="s">
        <v>1689</v>
      </c>
      <c r="F37" s="5" t="s">
        <v>1469</v>
      </c>
      <c r="G37" s="4" t="s">
        <v>1534</v>
      </c>
      <c r="H37" s="4" t="s">
        <v>1535</v>
      </c>
      <c r="I37" s="5"/>
      <c r="J37" s="6" t="s">
        <v>4</v>
      </c>
      <c r="K37" s="23" t="str">
        <f t="shared" si="8"/>
        <v>string</v>
      </c>
      <c r="L37" s="23" t="str">
        <f t="shared" si="9"/>
        <v/>
      </c>
      <c r="M37" s="20" t="s">
        <v>1589</v>
      </c>
      <c r="N37" s="20"/>
      <c r="O37" s="20"/>
      <c r="P37" s="20"/>
      <c r="Q37" s="20">
        <v>1</v>
      </c>
      <c r="R37" s="20"/>
      <c r="S37" s="2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>
      <c r="A38" s="41"/>
      <c r="B38" s="3" t="s">
        <v>1402</v>
      </c>
      <c r="C38" s="9" t="s">
        <v>1554</v>
      </c>
      <c r="D38" s="5"/>
      <c r="E38" s="5"/>
      <c r="F38" s="5"/>
      <c r="G38" s="4" t="s">
        <v>1555</v>
      </c>
      <c r="H38" s="4" t="s">
        <v>1556</v>
      </c>
      <c r="I38" s="5"/>
      <c r="J38" s="6" t="s">
        <v>4</v>
      </c>
      <c r="K38" s="23" t="str">
        <f t="shared" si="8"/>
        <v>string</v>
      </c>
      <c r="L38" s="23" t="str">
        <f t="shared" si="9"/>
        <v/>
      </c>
      <c r="M38" s="20"/>
      <c r="N38" s="20"/>
      <c r="O38" s="20"/>
      <c r="P38" s="20"/>
      <c r="Q38" s="20">
        <v>1</v>
      </c>
      <c r="R38" s="20"/>
      <c r="S38" s="2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>
      <c r="A39" s="41"/>
      <c r="B39" s="3" t="s">
        <v>1402</v>
      </c>
      <c r="C39" s="9" t="s">
        <v>1557</v>
      </c>
      <c r="D39" s="5"/>
      <c r="E39" s="5"/>
      <c r="F39" s="5" t="s">
        <v>1469</v>
      </c>
      <c r="G39" s="4" t="s">
        <v>1558</v>
      </c>
      <c r="H39" s="4" t="s">
        <v>1559</v>
      </c>
      <c r="I39" s="5"/>
      <c r="J39" s="6" t="s">
        <v>4</v>
      </c>
      <c r="K39" s="23" t="str">
        <f t="shared" si="8"/>
        <v>string</v>
      </c>
      <c r="L39" s="23" t="str">
        <f t="shared" si="9"/>
        <v/>
      </c>
      <c r="M39" s="20" t="s">
        <v>1587</v>
      </c>
      <c r="N39" s="20"/>
      <c r="O39" s="20"/>
      <c r="P39" s="20"/>
      <c r="Q39" s="20">
        <v>1</v>
      </c>
      <c r="R39" s="20"/>
      <c r="S39" s="2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>
      <c r="A40" s="41"/>
      <c r="B40" s="3" t="s">
        <v>1402</v>
      </c>
      <c r="C40" s="9" t="s">
        <v>1560</v>
      </c>
      <c r="D40" s="5"/>
      <c r="E40" s="5"/>
      <c r="F40" s="5" t="s">
        <v>1469</v>
      </c>
      <c r="G40" s="4" t="s">
        <v>1561</v>
      </c>
      <c r="H40" s="4" t="s">
        <v>1562</v>
      </c>
      <c r="I40" s="5"/>
      <c r="J40" s="6" t="s">
        <v>4</v>
      </c>
      <c r="K40" s="23" t="str">
        <f t="shared" si="8"/>
        <v>string</v>
      </c>
      <c r="L40" s="23" t="str">
        <f t="shared" si="9"/>
        <v/>
      </c>
      <c r="M40" s="20" t="s">
        <v>1592</v>
      </c>
      <c r="N40" s="20"/>
      <c r="O40" s="20"/>
      <c r="P40" s="20"/>
      <c r="Q40" s="20">
        <v>1</v>
      </c>
      <c r="R40" s="20"/>
      <c r="S40" s="2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spans="1:30">
      <c r="A41" s="41"/>
      <c r="B41" s="3" t="s">
        <v>1402</v>
      </c>
      <c r="C41" s="9" t="s">
        <v>1563</v>
      </c>
      <c r="D41" s="5"/>
      <c r="E41" s="5"/>
      <c r="F41" s="5" t="s">
        <v>1469</v>
      </c>
      <c r="G41" s="4" t="s">
        <v>1564</v>
      </c>
      <c r="H41" s="4" t="s">
        <v>1565</v>
      </c>
      <c r="I41" s="5"/>
      <c r="J41" s="6" t="s">
        <v>4</v>
      </c>
      <c r="K41" s="23" t="str">
        <f t="shared" si="8"/>
        <v>string</v>
      </c>
      <c r="L41" s="23" t="str">
        <f t="shared" si="9"/>
        <v/>
      </c>
      <c r="M41" s="20" t="s">
        <v>1592</v>
      </c>
      <c r="N41" s="20"/>
      <c r="O41" s="20"/>
      <c r="P41" s="20"/>
      <c r="Q41" s="20">
        <v>1</v>
      </c>
      <c r="R41" s="20"/>
      <c r="S41" s="2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spans="1:30">
      <c r="A42" s="41"/>
      <c r="B42" s="3" t="s">
        <v>1402</v>
      </c>
      <c r="C42" s="9" t="s">
        <v>1690</v>
      </c>
      <c r="D42" s="5"/>
      <c r="E42" s="5" t="s">
        <v>1691</v>
      </c>
      <c r="F42" s="5" t="s">
        <v>1469</v>
      </c>
      <c r="G42" s="4" t="s">
        <v>1692</v>
      </c>
      <c r="H42" s="4" t="s">
        <v>1693</v>
      </c>
      <c r="I42" s="5"/>
      <c r="J42" s="6" t="s">
        <v>4</v>
      </c>
      <c r="K42" s="23" t="str">
        <f t="shared" si="8"/>
        <v>string</v>
      </c>
      <c r="L42" s="23" t="str">
        <f t="shared" si="9"/>
        <v/>
      </c>
      <c r="M42" s="20" t="s">
        <v>1592</v>
      </c>
      <c r="N42" s="20"/>
      <c r="O42" s="20"/>
      <c r="P42" s="20"/>
      <c r="Q42" s="20">
        <v>1</v>
      </c>
      <c r="R42" s="20"/>
      <c r="S42" s="2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>
      <c r="A43" s="41"/>
      <c r="B43" s="3" t="s">
        <v>1402</v>
      </c>
      <c r="C43" s="9" t="s">
        <v>1566</v>
      </c>
      <c r="D43" s="5"/>
      <c r="E43" s="5"/>
      <c r="F43" s="5" t="s">
        <v>1469</v>
      </c>
      <c r="G43" s="4" t="s">
        <v>1567</v>
      </c>
      <c r="H43" s="4" t="s">
        <v>1568</v>
      </c>
      <c r="I43" s="5"/>
      <c r="J43" s="6" t="s">
        <v>4</v>
      </c>
      <c r="K43" s="23" t="str">
        <f t="shared" si="8"/>
        <v>string</v>
      </c>
      <c r="L43" s="23" t="str">
        <f t="shared" si="9"/>
        <v/>
      </c>
      <c r="M43" s="20" t="s">
        <v>1590</v>
      </c>
      <c r="N43" s="20"/>
      <c r="O43" s="20"/>
      <c r="P43" s="20"/>
      <c r="Q43" s="20">
        <v>1</v>
      </c>
      <c r="R43" s="20"/>
      <c r="S43" s="2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>
      <c r="A44" s="41"/>
      <c r="B44" s="3" t="s">
        <v>1402</v>
      </c>
      <c r="C44" s="9" t="s">
        <v>1569</v>
      </c>
      <c r="D44" s="5"/>
      <c r="E44" s="5"/>
      <c r="F44" s="5" t="s">
        <v>1469</v>
      </c>
      <c r="G44" s="4" t="s">
        <v>1570</v>
      </c>
      <c r="H44" s="4" t="s">
        <v>1571</v>
      </c>
      <c r="I44" s="5"/>
      <c r="J44" s="6" t="s">
        <v>4</v>
      </c>
      <c r="K44" s="23" t="str">
        <f t="shared" si="8"/>
        <v>string</v>
      </c>
      <c r="L44" s="23" t="str">
        <f t="shared" si="9"/>
        <v/>
      </c>
      <c r="M44" s="20" t="s">
        <v>1590</v>
      </c>
      <c r="N44" s="40"/>
      <c r="O44" s="20"/>
      <c r="P44" s="20"/>
      <c r="Q44" s="20">
        <v>1</v>
      </c>
      <c r="R44" s="20"/>
      <c r="S44" s="2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spans="1:30">
      <c r="A45" s="41"/>
      <c r="B45" s="3" t="s">
        <v>1402</v>
      </c>
      <c r="C45" s="9" t="s">
        <v>1536</v>
      </c>
      <c r="D45" s="5"/>
      <c r="E45" s="5" t="s">
        <v>1694</v>
      </c>
      <c r="F45" s="5"/>
      <c r="G45" s="4" t="s">
        <v>1537</v>
      </c>
      <c r="H45" s="4" t="s">
        <v>1538</v>
      </c>
      <c r="I45" s="5"/>
      <c r="J45" s="6" t="s">
        <v>4</v>
      </c>
      <c r="K45" s="23" t="str">
        <f t="shared" si="8"/>
        <v>string</v>
      </c>
      <c r="L45" s="23" t="str">
        <f t="shared" si="9"/>
        <v/>
      </c>
      <c r="M45" s="20"/>
      <c r="N45" s="40"/>
      <c r="O45" s="20"/>
      <c r="P45" s="20"/>
      <c r="Q45" s="20">
        <v>1</v>
      </c>
      <c r="R45" s="20"/>
      <c r="S45" s="2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spans="1:30">
      <c r="A46" s="41"/>
      <c r="B46" s="3" t="s">
        <v>1402</v>
      </c>
      <c r="C46" s="9" t="s">
        <v>1539</v>
      </c>
      <c r="D46" s="5"/>
      <c r="E46" s="5" t="s">
        <v>1695</v>
      </c>
      <c r="F46" s="5" t="s">
        <v>1469</v>
      </c>
      <c r="G46" s="4" t="s">
        <v>1540</v>
      </c>
      <c r="H46" s="4" t="s">
        <v>1541</v>
      </c>
      <c r="I46" s="5"/>
      <c r="J46" s="6" t="s">
        <v>4</v>
      </c>
      <c r="K46" s="23" t="str">
        <f t="shared" si="8"/>
        <v>string</v>
      </c>
      <c r="L46" s="23" t="str">
        <f t="shared" si="9"/>
        <v/>
      </c>
      <c r="M46" s="20" t="s">
        <v>1587</v>
      </c>
      <c r="N46" s="20"/>
      <c r="O46" s="20"/>
      <c r="P46" s="20"/>
      <c r="Q46" s="20">
        <v>1</v>
      </c>
      <c r="R46" s="20"/>
      <c r="S46" s="2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spans="1:30">
      <c r="A47" s="41"/>
      <c r="B47" s="3" t="s">
        <v>1402</v>
      </c>
      <c r="C47" s="9" t="s">
        <v>1542</v>
      </c>
      <c r="D47" s="5"/>
      <c r="E47" s="5" t="s">
        <v>1696</v>
      </c>
      <c r="F47" s="5" t="s">
        <v>1469</v>
      </c>
      <c r="G47" s="4" t="s">
        <v>1543</v>
      </c>
      <c r="H47" s="4" t="s">
        <v>1544</v>
      </c>
      <c r="I47" s="5"/>
      <c r="J47" s="6" t="s">
        <v>4</v>
      </c>
      <c r="K47" s="23" t="str">
        <f t="shared" ref="K47:K54" si="10">_xlfn.IFS(J47="integer","integer",J47="number","number",J47="array","array",J47="boolean","boolean",TRUE,"string")</f>
        <v>string</v>
      </c>
      <c r="L47" s="23" t="str">
        <f t="shared" ref="L47:L54" si="11">_xlfn.IFS(J47="datetime","date-time",J47="duration","duration",TRUE,"")</f>
        <v/>
      </c>
      <c r="M47" s="20" t="s">
        <v>1590</v>
      </c>
      <c r="N47" s="20"/>
      <c r="O47" s="20"/>
      <c r="P47" s="20"/>
      <c r="Q47" s="20">
        <v>1</v>
      </c>
      <c r="R47" s="20"/>
      <c r="S47" s="2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spans="1:30">
      <c r="A48" s="41"/>
      <c r="B48" s="3" t="s">
        <v>1402</v>
      </c>
      <c r="C48" s="9" t="s">
        <v>1545</v>
      </c>
      <c r="D48" s="5"/>
      <c r="E48" s="5" t="s">
        <v>1697</v>
      </c>
      <c r="F48" s="5" t="s">
        <v>1469</v>
      </c>
      <c r="G48" s="4" t="s">
        <v>1546</v>
      </c>
      <c r="H48" s="4" t="s">
        <v>1547</v>
      </c>
      <c r="I48" s="5"/>
      <c r="J48" s="6" t="s">
        <v>4</v>
      </c>
      <c r="K48" s="23" t="str">
        <f t="shared" si="10"/>
        <v>string</v>
      </c>
      <c r="L48" s="23" t="str">
        <f t="shared" si="11"/>
        <v/>
      </c>
      <c r="M48" s="20" t="s">
        <v>1591</v>
      </c>
      <c r="N48" s="20"/>
      <c r="O48" s="20"/>
      <c r="P48" s="20"/>
      <c r="Q48" s="20">
        <v>1</v>
      </c>
      <c r="R48" s="20"/>
      <c r="S48" s="2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spans="1:30">
      <c r="A49" s="41"/>
      <c r="B49" s="3" t="s">
        <v>1402</v>
      </c>
      <c r="C49" s="9" t="s">
        <v>1572</v>
      </c>
      <c r="D49" s="5"/>
      <c r="E49" s="5"/>
      <c r="F49" s="5"/>
      <c r="G49" s="4" t="s">
        <v>1573</v>
      </c>
      <c r="H49" s="4" t="s">
        <v>1574</v>
      </c>
      <c r="I49" s="5"/>
      <c r="J49" s="6" t="s">
        <v>4</v>
      </c>
      <c r="K49" s="23" t="str">
        <f t="shared" si="10"/>
        <v>string</v>
      </c>
      <c r="L49" s="23" t="str">
        <f t="shared" si="11"/>
        <v/>
      </c>
      <c r="M49" s="20"/>
      <c r="N49" s="20"/>
      <c r="O49" s="20"/>
      <c r="P49" s="20"/>
      <c r="Q49" s="20">
        <v>1</v>
      </c>
      <c r="R49" s="20"/>
      <c r="S49" s="2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spans="1:30">
      <c r="A50" s="41"/>
      <c r="B50" s="3" t="s">
        <v>1402</v>
      </c>
      <c r="C50" s="9" t="s">
        <v>1698</v>
      </c>
      <c r="D50" s="5"/>
      <c r="E50" s="5" t="s">
        <v>1699</v>
      </c>
      <c r="F50" s="5"/>
      <c r="G50" s="4" t="s">
        <v>1700</v>
      </c>
      <c r="H50" s="4" t="s">
        <v>1701</v>
      </c>
      <c r="I50" s="5"/>
      <c r="J50" s="6" t="s">
        <v>4</v>
      </c>
      <c r="K50" s="23" t="str">
        <f t="shared" si="10"/>
        <v>string</v>
      </c>
      <c r="L50" s="23" t="str">
        <f t="shared" si="11"/>
        <v/>
      </c>
      <c r="M50" s="20"/>
      <c r="N50" s="20"/>
      <c r="O50" s="20"/>
      <c r="P50" s="20"/>
      <c r="Q50" s="20">
        <v>1</v>
      </c>
      <c r="R50" s="20"/>
      <c r="S50" s="2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>
      <c r="A51" s="41"/>
      <c r="B51" s="3" t="s">
        <v>1402</v>
      </c>
      <c r="C51" s="9" t="s">
        <v>1548</v>
      </c>
      <c r="D51" s="5"/>
      <c r="E51" s="5" t="s">
        <v>1699</v>
      </c>
      <c r="F51" s="5" t="s">
        <v>1469</v>
      </c>
      <c r="G51" s="4" t="s">
        <v>1549</v>
      </c>
      <c r="H51" s="4" t="s">
        <v>1550</v>
      </c>
      <c r="I51" s="5"/>
      <c r="J51" s="6" t="s">
        <v>4</v>
      </c>
      <c r="K51" s="23" t="str">
        <f t="shared" ref="K51:K53" si="12">_xlfn.IFS(J51="integer","integer",J51="number","number",J51="array","array",J51="boolean","boolean",TRUE,"string")</f>
        <v>string</v>
      </c>
      <c r="L51" s="23" t="str">
        <f t="shared" ref="L51:L53" si="13">_xlfn.IFS(J51="datetime","date-time",J51="duration","duration",TRUE,"")</f>
        <v/>
      </c>
      <c r="M51" s="20" t="s">
        <v>1592</v>
      </c>
      <c r="N51" s="20"/>
      <c r="O51" s="20"/>
      <c r="P51" s="20"/>
      <c r="Q51" s="20">
        <v>1</v>
      </c>
      <c r="R51" s="20"/>
      <c r="S51" s="2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spans="1:30">
      <c r="A52" s="41"/>
      <c r="B52" s="3" t="s">
        <v>1402</v>
      </c>
      <c r="C52" s="9" t="s">
        <v>1551</v>
      </c>
      <c r="D52" s="5"/>
      <c r="E52" s="5" t="s">
        <v>1699</v>
      </c>
      <c r="F52" s="5" t="s">
        <v>1469</v>
      </c>
      <c r="G52" s="4" t="s">
        <v>1552</v>
      </c>
      <c r="H52" s="4" t="s">
        <v>1553</v>
      </c>
      <c r="I52" s="5"/>
      <c r="J52" s="6" t="s">
        <v>4</v>
      </c>
      <c r="K52" s="23" t="str">
        <f t="shared" si="12"/>
        <v>string</v>
      </c>
      <c r="L52" s="23" t="str">
        <f t="shared" si="13"/>
        <v/>
      </c>
      <c r="M52" s="20" t="s">
        <v>1592</v>
      </c>
      <c r="N52" s="20"/>
      <c r="O52" s="20"/>
      <c r="P52" s="20"/>
      <c r="Q52" s="20">
        <v>1</v>
      </c>
      <c r="R52" s="20"/>
      <c r="S52" s="2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spans="1:30">
      <c r="A53" s="41"/>
      <c r="B53" s="3" t="s">
        <v>1402</v>
      </c>
      <c r="C53" s="9" t="s">
        <v>1584</v>
      </c>
      <c r="D53" s="5"/>
      <c r="E53" s="5" t="s">
        <v>1702</v>
      </c>
      <c r="F53" s="5"/>
      <c r="G53" s="4" t="s">
        <v>1585</v>
      </c>
      <c r="H53" s="4" t="s">
        <v>1586</v>
      </c>
      <c r="I53" s="5"/>
      <c r="J53" s="6" t="s">
        <v>4</v>
      </c>
      <c r="K53" s="23" t="str">
        <f t="shared" si="12"/>
        <v>string</v>
      </c>
      <c r="L53" s="23" t="str">
        <f t="shared" si="13"/>
        <v/>
      </c>
      <c r="M53" s="20"/>
      <c r="N53" s="20"/>
      <c r="O53" s="20"/>
      <c r="P53" s="20"/>
      <c r="Q53" s="20"/>
      <c r="R53" s="20"/>
      <c r="S53" s="2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spans="1:30">
      <c r="A54" s="41"/>
      <c r="B54" s="3" t="s">
        <v>44</v>
      </c>
      <c r="C54" s="9"/>
      <c r="D54" s="5"/>
      <c r="E54" s="5"/>
      <c r="F54" s="5"/>
      <c r="G54" s="4"/>
      <c r="H54" s="4"/>
      <c r="I54" s="5"/>
      <c r="J54" s="6" t="s">
        <v>4</v>
      </c>
      <c r="K54" s="23" t="str">
        <f t="shared" si="10"/>
        <v>string</v>
      </c>
      <c r="L54" s="23" t="str">
        <f t="shared" si="11"/>
        <v/>
      </c>
      <c r="M54" s="20"/>
      <c r="N54" s="20"/>
      <c r="O54" s="20"/>
      <c r="P54" s="20"/>
      <c r="Q54" s="20"/>
      <c r="R54" s="20"/>
      <c r="S54" s="2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spans="1:30">
      <c r="A55" s="41"/>
      <c r="B55" s="3" t="s">
        <v>44</v>
      </c>
      <c r="C55" s="9"/>
      <c r="D55" s="7"/>
      <c r="E55" s="7"/>
      <c r="F55" s="7"/>
      <c r="G55" s="6"/>
      <c r="H55" s="6"/>
      <c r="I55" s="7"/>
      <c r="J55" s="6" t="s">
        <v>4</v>
      </c>
      <c r="K55" s="23" t="str">
        <f t="shared" si="0"/>
        <v>string</v>
      </c>
      <c r="L55" s="23" t="str">
        <f t="shared" si="1"/>
        <v/>
      </c>
      <c r="M55" s="7"/>
      <c r="N55" s="7"/>
      <c r="O55" s="7"/>
      <c r="P55" s="7"/>
      <c r="Q55" s="7"/>
      <c r="R55" s="7"/>
      <c r="S55" s="8"/>
    </row>
    <row r="56" spans="1:30">
      <c r="B56" s="27"/>
    </row>
  </sheetData>
  <mergeCells count="1">
    <mergeCell ref="A3:A55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55" xr:uid="{C77DE921-00C9-402E-B063-7FE813E1C579}">
      <formula1>"ON,OFF"</formula1>
    </dataValidation>
    <dataValidation type="list" allowBlank="1" showInputMessage="1" showErrorMessage="1" sqref="Q4:Q55" xr:uid="{973D0976-273D-4B1E-AD82-53B3E7F58099}">
      <formula1>"　,TRUE"</formula1>
    </dataValidation>
    <dataValidation type="list" allowBlank="1" showInputMessage="1" showErrorMessage="1" sqref="J3:J55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7"/>
  <sheetViews>
    <sheetView zoomScaleNormal="100" workbookViewId="0">
      <pane xSplit="4" ySplit="6" topLeftCell="Q7" activePane="bottomRight" state="frozen"/>
      <selection pane="topRight" activeCell="E1" sqref="E1"/>
      <selection pane="bottomLeft" activeCell="A7" sqref="A7"/>
      <selection pane="bottomRight" activeCell="U25" sqref="U25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6" t="s">
        <v>9</v>
      </c>
      <c r="C1" s="47"/>
      <c r="D1" s="47"/>
      <c r="E1" s="4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52" t="str">
        <f>"https://rde.nims.go.jp/rde/dataset-templates/"&amp;説明!B3&amp;"/invoice.schema.json"</f>
        <v>https://rde.nims.go.jp/rde/dataset-templates/RDEDatasetTemplateSheet_RDE_XPS_ulvac_phi/invoice.schema.json</v>
      </c>
      <c r="C2" s="53"/>
      <c r="D2" s="53"/>
      <c r="E2" s="5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9" t="str">
        <f>説明!B4&amp;": 送状定義"</f>
        <v>標準データセットテンプレートRDE_XPSのulvac_phi用RDEデータセットテンプレート: 送状定義</v>
      </c>
      <c r="C3" s="50"/>
      <c r="D3" s="50"/>
      <c r="E3" s="5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1393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1397</v>
      </c>
      <c r="D6" s="2" t="s">
        <v>1401</v>
      </c>
      <c r="E6" s="2" t="s">
        <v>1400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1396</v>
      </c>
      <c r="N6" s="2" t="s">
        <v>1398</v>
      </c>
      <c r="O6" s="2" t="s">
        <v>1395</v>
      </c>
      <c r="P6" s="2" t="s">
        <v>1399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2" t="s">
        <v>5</v>
      </c>
      <c r="B7" s="42" t="s">
        <v>33</v>
      </c>
      <c r="C7" s="3" t="s">
        <v>1402</v>
      </c>
      <c r="D7" s="18" t="s">
        <v>1706</v>
      </c>
      <c r="E7" s="19"/>
      <c r="F7" s="15" t="s">
        <v>1707</v>
      </c>
      <c r="G7" s="15" t="s">
        <v>1708</v>
      </c>
      <c r="H7" s="12"/>
      <c r="I7" s="12"/>
      <c r="J7" s="12" t="s">
        <v>1593</v>
      </c>
      <c r="K7" s="16"/>
      <c r="L7" s="7"/>
      <c r="M7" s="6" t="s">
        <v>1469</v>
      </c>
      <c r="N7" s="29" t="str">
        <f>_xlfn.IFS(M7="integer","integer",M7="number","number",M7="boolean","boolean",TRUE,"string")</f>
        <v>number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2"/>
      <c r="B8" s="42"/>
      <c r="C8" s="3" t="s">
        <v>1402</v>
      </c>
      <c r="D8" s="18" t="s">
        <v>1709</v>
      </c>
      <c r="E8" s="19"/>
      <c r="F8" s="15" t="s">
        <v>1710</v>
      </c>
      <c r="G8" s="15" t="s">
        <v>1711</v>
      </c>
      <c r="H8" s="12"/>
      <c r="I8" s="12"/>
      <c r="J8" s="12" t="s">
        <v>1712</v>
      </c>
      <c r="K8" s="16"/>
      <c r="L8" s="7"/>
      <c r="M8" s="6" t="s">
        <v>1469</v>
      </c>
      <c r="N8" s="29" t="str">
        <f t="shared" ref="N8:N31" si="0">_xlfn.IFS(M8="integer","integer",M8="number","number",M8="boolean","boolean",TRUE,"string")</f>
        <v>number</v>
      </c>
      <c r="O8" s="29" t="str">
        <f t="shared" ref="O8:O31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2"/>
      <c r="B9" s="42"/>
      <c r="C9" s="3" t="s">
        <v>1402</v>
      </c>
      <c r="D9" s="18" t="s">
        <v>1713</v>
      </c>
      <c r="E9" s="19"/>
      <c r="F9" s="15" t="s">
        <v>1714</v>
      </c>
      <c r="G9" s="15" t="s">
        <v>1715</v>
      </c>
      <c r="H9" s="12"/>
      <c r="I9" s="12"/>
      <c r="J9" s="12" t="s">
        <v>1593</v>
      </c>
      <c r="K9" s="16"/>
      <c r="L9" s="7"/>
      <c r="M9" s="6" t="s">
        <v>1469</v>
      </c>
      <c r="N9" s="29" t="str">
        <f t="shared" si="0"/>
        <v>number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2"/>
      <c r="B10" s="42"/>
      <c r="C10" s="3" t="s">
        <v>1402</v>
      </c>
      <c r="D10" s="18" t="s">
        <v>1716</v>
      </c>
      <c r="E10" s="19"/>
      <c r="F10" s="15" t="s">
        <v>1601</v>
      </c>
      <c r="G10" s="15" t="s">
        <v>1602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2"/>
      <c r="B11" s="42"/>
      <c r="C11" s="3" t="s">
        <v>1402</v>
      </c>
      <c r="D11" s="18" t="s">
        <v>1717</v>
      </c>
      <c r="E11" s="19"/>
      <c r="F11" s="15" t="s">
        <v>1718</v>
      </c>
      <c r="G11" s="15" t="s">
        <v>1719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2"/>
      <c r="B12" s="42"/>
      <c r="C12" s="3" t="s">
        <v>1402</v>
      </c>
      <c r="D12" s="18" t="s">
        <v>1720</v>
      </c>
      <c r="E12" s="19"/>
      <c r="F12" s="15" t="s">
        <v>1721</v>
      </c>
      <c r="G12" s="15" t="s">
        <v>1722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2"/>
      <c r="B13" s="42"/>
      <c r="C13" s="3" t="s">
        <v>1402</v>
      </c>
      <c r="D13" s="18" t="s">
        <v>1723</v>
      </c>
      <c r="E13" s="19"/>
      <c r="F13" s="15" t="s">
        <v>1724</v>
      </c>
      <c r="G13" s="15" t="s">
        <v>1725</v>
      </c>
      <c r="H13" s="12"/>
      <c r="I13" s="12"/>
      <c r="J13" s="12"/>
      <c r="K13" s="16"/>
      <c r="L13" s="7" t="b">
        <v>1</v>
      </c>
      <c r="M13" s="6" t="s">
        <v>1726</v>
      </c>
      <c r="N13" s="29" t="str">
        <f t="shared" si="0"/>
        <v>string</v>
      </c>
      <c r="O13" s="29" t="str">
        <f t="shared" si="1"/>
        <v/>
      </c>
      <c r="P13" s="29"/>
      <c r="Q13" s="19"/>
      <c r="R13" s="19" t="s">
        <v>1727</v>
      </c>
      <c r="S13" s="12">
        <v>1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2"/>
      <c r="B14" s="42"/>
      <c r="C14" s="3" t="s">
        <v>1402</v>
      </c>
      <c r="D14" s="18" t="s">
        <v>1482</v>
      </c>
      <c r="E14" s="19"/>
      <c r="F14" s="15" t="s">
        <v>1483</v>
      </c>
      <c r="G14" s="15" t="s">
        <v>1482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2"/>
      <c r="B15" s="42"/>
      <c r="C15" s="3" t="s">
        <v>1402</v>
      </c>
      <c r="D15" s="18" t="s">
        <v>1484</v>
      </c>
      <c r="E15" s="19"/>
      <c r="F15" s="15" t="s">
        <v>1485</v>
      </c>
      <c r="G15" s="15" t="s">
        <v>1484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2"/>
      <c r="B16" s="42"/>
      <c r="C16" s="3" t="s">
        <v>1402</v>
      </c>
      <c r="D16" s="18" t="s">
        <v>1486</v>
      </c>
      <c r="E16" s="19"/>
      <c r="F16" s="15" t="s">
        <v>1487</v>
      </c>
      <c r="G16" s="15" t="s">
        <v>1486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2"/>
      <c r="B17" s="42"/>
      <c r="C17" s="3" t="s">
        <v>1402</v>
      </c>
      <c r="D17" s="18" t="s">
        <v>1488</v>
      </c>
      <c r="E17" s="19"/>
      <c r="F17" s="15" t="s">
        <v>1489</v>
      </c>
      <c r="G17" s="15" t="s">
        <v>1488</v>
      </c>
      <c r="H17" s="12"/>
      <c r="I17" s="12"/>
      <c r="J17" s="12"/>
      <c r="K17" s="16"/>
      <c r="L17" s="7"/>
      <c r="M17" s="6" t="s">
        <v>4</v>
      </c>
      <c r="N17" s="29" t="str">
        <f t="shared" ref="N17:N30" si="2">_xlfn.IFS(M17="integer","integer",M17="number","number",M17="boolean","boolean",TRUE,"string")</f>
        <v>string</v>
      </c>
      <c r="O17" s="29" t="str">
        <f t="shared" ref="O17:O30" si="3">_xlfn.IFS(M17="date","date",M17="markdown","markdown",M17="time", "time",M17="uri","uri",M17="uuid","uuid",TRUE,"")</f>
        <v/>
      </c>
      <c r="P17" s="29"/>
      <c r="Q17" s="19"/>
      <c r="R17" s="19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2"/>
      <c r="B18" s="42"/>
      <c r="C18" s="3" t="s">
        <v>1402</v>
      </c>
      <c r="D18" s="18" t="s">
        <v>1490</v>
      </c>
      <c r="E18" s="19"/>
      <c r="F18" s="15" t="s">
        <v>1491</v>
      </c>
      <c r="G18" s="15" t="s">
        <v>1490</v>
      </c>
      <c r="H18" s="12"/>
      <c r="I18" s="12"/>
      <c r="J18" s="12"/>
      <c r="K18" s="16"/>
      <c r="L18" s="7"/>
      <c r="M18" s="6" t="s">
        <v>4</v>
      </c>
      <c r="N18" s="29" t="str">
        <f t="shared" si="2"/>
        <v>string</v>
      </c>
      <c r="O18" s="29" t="str">
        <f t="shared" si="3"/>
        <v/>
      </c>
      <c r="P18" s="29"/>
      <c r="Q18" s="19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2"/>
      <c r="B19" s="42"/>
      <c r="C19" s="3" t="s">
        <v>1402</v>
      </c>
      <c r="D19" s="18" t="s">
        <v>1470</v>
      </c>
      <c r="E19" s="19"/>
      <c r="F19" s="15" t="s">
        <v>1471</v>
      </c>
      <c r="G19" s="15" t="s">
        <v>1492</v>
      </c>
      <c r="H19" s="12"/>
      <c r="I19" s="12"/>
      <c r="J19" s="12"/>
      <c r="K19" s="16"/>
      <c r="L19" s="7"/>
      <c r="M19" s="6" t="s">
        <v>4</v>
      </c>
      <c r="N19" s="29" t="str">
        <f t="shared" si="2"/>
        <v>string</v>
      </c>
      <c r="O19" s="29" t="str">
        <f t="shared" si="3"/>
        <v/>
      </c>
      <c r="P19" s="29"/>
      <c r="Q19" s="19"/>
      <c r="R19" s="19"/>
      <c r="S19" s="12" t="s">
        <v>1618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2"/>
      <c r="B20" s="42"/>
      <c r="C20" s="3" t="s">
        <v>1402</v>
      </c>
      <c r="D20" s="18" t="s">
        <v>1472</v>
      </c>
      <c r="E20" s="19"/>
      <c r="F20" s="15" t="s">
        <v>1473</v>
      </c>
      <c r="G20" s="15" t="s">
        <v>1474</v>
      </c>
      <c r="H20" s="12"/>
      <c r="I20" s="12"/>
      <c r="J20" s="12"/>
      <c r="K20" s="16"/>
      <c r="L20" s="7"/>
      <c r="M20" s="6" t="s">
        <v>4</v>
      </c>
      <c r="N20" s="29" t="str">
        <f t="shared" si="2"/>
        <v>string</v>
      </c>
      <c r="O20" s="29" t="str">
        <f t="shared" si="3"/>
        <v/>
      </c>
      <c r="P20" s="29"/>
      <c r="Q20" s="19"/>
      <c r="R20" s="19"/>
      <c r="S20" s="12" t="s">
        <v>1481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2"/>
      <c r="B21" s="42"/>
      <c r="C21" s="3" t="s">
        <v>1402</v>
      </c>
      <c r="D21" s="18" t="s">
        <v>1475</v>
      </c>
      <c r="E21" s="19"/>
      <c r="F21" s="15" t="s">
        <v>1476</v>
      </c>
      <c r="G21" s="15" t="s">
        <v>1477</v>
      </c>
      <c r="H21" s="12"/>
      <c r="I21" s="12"/>
      <c r="J21" s="12"/>
      <c r="K21" s="16"/>
      <c r="L21" s="7"/>
      <c r="M21" s="6" t="s">
        <v>4</v>
      </c>
      <c r="N21" s="29" t="str">
        <f t="shared" si="2"/>
        <v>string</v>
      </c>
      <c r="O21" s="29" t="str">
        <f t="shared" si="3"/>
        <v/>
      </c>
      <c r="P21" s="29"/>
      <c r="Q21" s="19"/>
      <c r="R21" s="19"/>
      <c r="S21" s="12" t="s">
        <v>1619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42"/>
      <c r="B22" s="42"/>
      <c r="C22" s="3" t="s">
        <v>1402</v>
      </c>
      <c r="D22" s="18" t="s">
        <v>1478</v>
      </c>
      <c r="E22" s="19"/>
      <c r="F22" s="15" t="s">
        <v>1479</v>
      </c>
      <c r="G22" s="15" t="s">
        <v>1480</v>
      </c>
      <c r="H22" s="12"/>
      <c r="I22" s="12"/>
      <c r="J22" s="12"/>
      <c r="K22" s="16"/>
      <c r="L22" s="7"/>
      <c r="M22" s="6" t="s">
        <v>4</v>
      </c>
      <c r="N22" s="29" t="str">
        <f t="shared" ref="N22:N24" si="4">_xlfn.IFS(M22="integer","integer",M22="number","number",M22="boolean","boolean",TRUE,"string")</f>
        <v>string</v>
      </c>
      <c r="O22" s="29" t="str">
        <f t="shared" ref="O22:O24" si="5">_xlfn.IFS(M22="date","date",M22="markdown","markdown",M22="time", "time",M22="uri","uri",M22="uuid","uuid",TRUE,"")</f>
        <v/>
      </c>
      <c r="P22" s="29"/>
      <c r="Q22" s="19"/>
      <c r="R22" s="19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>
      <c r="A23" s="42"/>
      <c r="B23" s="42"/>
      <c r="C23" s="3" t="s">
        <v>1402</v>
      </c>
      <c r="D23" s="18" t="s">
        <v>1594</v>
      </c>
      <c r="E23" s="19"/>
      <c r="F23" s="15" t="s">
        <v>1595</v>
      </c>
      <c r="G23" s="15" t="s">
        <v>1596</v>
      </c>
      <c r="H23" s="12"/>
      <c r="I23" s="12"/>
      <c r="J23" s="12"/>
      <c r="K23" s="16"/>
      <c r="L23" s="7"/>
      <c r="M23" s="6" t="s">
        <v>4</v>
      </c>
      <c r="N23" s="29" t="str">
        <f t="shared" si="4"/>
        <v>string</v>
      </c>
      <c r="O23" s="29" t="str">
        <f t="shared" si="5"/>
        <v/>
      </c>
      <c r="P23" s="29"/>
      <c r="Q23" s="19"/>
      <c r="R23" s="19"/>
      <c r="S23" s="12" t="s">
        <v>1620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>
      <c r="A24" s="42"/>
      <c r="B24" s="42"/>
      <c r="C24" s="3" t="s">
        <v>1402</v>
      </c>
      <c r="D24" s="18" t="s">
        <v>1597</v>
      </c>
      <c r="E24" s="19"/>
      <c r="F24" s="15" t="s">
        <v>1598</v>
      </c>
      <c r="G24" s="15" t="s">
        <v>1599</v>
      </c>
      <c r="H24" s="12"/>
      <c r="I24" s="12"/>
      <c r="J24" s="12"/>
      <c r="K24" s="16"/>
      <c r="L24" s="7"/>
      <c r="M24" s="6" t="s">
        <v>4</v>
      </c>
      <c r="N24" s="29" t="str">
        <f t="shared" si="4"/>
        <v>string</v>
      </c>
      <c r="O24" s="29" t="str">
        <f t="shared" si="5"/>
        <v/>
      </c>
      <c r="P24" s="29"/>
      <c r="Q24" s="19"/>
      <c r="R24" s="19"/>
      <c r="S24" s="12" t="s">
        <v>1621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42"/>
      <c r="B25" s="42"/>
      <c r="C25" s="3" t="s">
        <v>1402</v>
      </c>
      <c r="D25" s="18" t="s">
        <v>1600</v>
      </c>
      <c r="E25" s="19"/>
      <c r="F25" s="15" t="s">
        <v>1601</v>
      </c>
      <c r="G25" s="15" t="s">
        <v>1602</v>
      </c>
      <c r="H25" s="12"/>
      <c r="I25" s="12"/>
      <c r="J25" s="12"/>
      <c r="K25" s="16"/>
      <c r="L25" s="7"/>
      <c r="M25" s="6" t="s">
        <v>4</v>
      </c>
      <c r="N25" s="29" t="str">
        <f t="shared" si="2"/>
        <v>string</v>
      </c>
      <c r="O25" s="29" t="str">
        <f t="shared" si="3"/>
        <v/>
      </c>
      <c r="P25" s="29"/>
      <c r="Q25" s="19"/>
      <c r="R25" s="19"/>
      <c r="S25" s="12"/>
      <c r="T25" s="12"/>
      <c r="U25" s="40"/>
      <c r="V25" s="40"/>
      <c r="W25" s="12"/>
      <c r="X25" s="12"/>
      <c r="Y25" s="12"/>
      <c r="Z25" s="12"/>
      <c r="AA25" s="12"/>
      <c r="AB25" s="12"/>
      <c r="AC25" s="12"/>
    </row>
    <row r="26" spans="1:29">
      <c r="A26" s="42"/>
      <c r="B26" s="42"/>
      <c r="C26" s="3" t="s">
        <v>1402</v>
      </c>
      <c r="D26" s="18" t="s">
        <v>1603</v>
      </c>
      <c r="E26" s="19"/>
      <c r="F26" s="15" t="s">
        <v>1604</v>
      </c>
      <c r="G26" s="15" t="s">
        <v>1605</v>
      </c>
      <c r="H26" s="12"/>
      <c r="I26" s="12"/>
      <c r="J26" s="12"/>
      <c r="K26" s="16"/>
      <c r="L26" s="7"/>
      <c r="M26" s="6" t="s">
        <v>4</v>
      </c>
      <c r="N26" s="29" t="str">
        <f t="shared" ref="N26:N29" si="6">_xlfn.IFS(M26="integer","integer",M26="number","number",M26="boolean","boolean",TRUE,"string")</f>
        <v>string</v>
      </c>
      <c r="O26" s="29" t="str">
        <f t="shared" ref="O26:O29" si="7">_xlfn.IFS(M26="date","date",M26="markdown","markdown",M26="time", "time",M26="uri","uri",M26="uuid","uuid",TRUE,"")</f>
        <v/>
      </c>
      <c r="P26" s="29"/>
      <c r="Q26" s="19"/>
      <c r="R26" s="19"/>
      <c r="S26" s="12" t="s">
        <v>1622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42"/>
      <c r="B27" s="42"/>
      <c r="C27" s="3" t="s">
        <v>1402</v>
      </c>
      <c r="D27" s="18" t="s">
        <v>1606</v>
      </c>
      <c r="E27" s="19"/>
      <c r="F27" s="15" t="s">
        <v>1607</v>
      </c>
      <c r="G27" s="15" t="s">
        <v>1608</v>
      </c>
      <c r="H27" s="12"/>
      <c r="I27" s="12"/>
      <c r="J27" s="12"/>
      <c r="K27" s="16"/>
      <c r="L27" s="7"/>
      <c r="M27" s="6" t="s">
        <v>4</v>
      </c>
      <c r="N27" s="29" t="str">
        <f t="shared" si="6"/>
        <v>string</v>
      </c>
      <c r="O27" s="29" t="str">
        <f t="shared" si="7"/>
        <v/>
      </c>
      <c r="P27" s="29"/>
      <c r="Q27" s="19"/>
      <c r="R27" s="1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42"/>
      <c r="B28" s="42"/>
      <c r="C28" s="3" t="s">
        <v>1402</v>
      </c>
      <c r="D28" s="18" t="s">
        <v>1609</v>
      </c>
      <c r="E28" s="19"/>
      <c r="F28" s="15" t="s">
        <v>1610</v>
      </c>
      <c r="G28" s="15" t="s">
        <v>1611</v>
      </c>
      <c r="H28" s="12"/>
      <c r="I28" s="12"/>
      <c r="J28" s="12"/>
      <c r="K28" s="16"/>
      <c r="L28" s="7"/>
      <c r="M28" s="6" t="s">
        <v>1468</v>
      </c>
      <c r="N28" s="29" t="str">
        <f t="shared" si="6"/>
        <v>string</v>
      </c>
      <c r="O28" s="29" t="str">
        <f t="shared" si="7"/>
        <v>date</v>
      </c>
      <c r="P28" s="29"/>
      <c r="Q28" s="19"/>
      <c r="R28" s="19"/>
      <c r="S28" s="12"/>
      <c r="T28" s="12"/>
      <c r="U28" s="40" t="s">
        <v>1728</v>
      </c>
      <c r="V28" s="40" t="s">
        <v>1729</v>
      </c>
      <c r="W28" s="12"/>
      <c r="X28" s="12"/>
      <c r="Y28" s="12"/>
      <c r="Z28" s="12"/>
      <c r="AA28" s="12"/>
      <c r="AB28" s="12"/>
      <c r="AC28" s="12"/>
    </row>
    <row r="29" spans="1:29">
      <c r="A29" s="42"/>
      <c r="B29" s="42"/>
      <c r="C29" s="3" t="s">
        <v>1402</v>
      </c>
      <c r="D29" s="18" t="s">
        <v>1612</v>
      </c>
      <c r="E29" s="19"/>
      <c r="F29" s="15" t="s">
        <v>1613</v>
      </c>
      <c r="G29" s="15" t="s">
        <v>1614</v>
      </c>
      <c r="H29" s="12"/>
      <c r="I29" s="12"/>
      <c r="J29" s="12"/>
      <c r="K29" s="16"/>
      <c r="L29" s="7"/>
      <c r="M29" s="6" t="s">
        <v>4</v>
      </c>
      <c r="N29" s="29" t="str">
        <f t="shared" si="6"/>
        <v>string</v>
      </c>
      <c r="O29" s="29" t="str">
        <f t="shared" si="7"/>
        <v/>
      </c>
      <c r="P29" s="29"/>
      <c r="Q29" s="19"/>
      <c r="R29" s="19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>
      <c r="A30" s="42"/>
      <c r="B30" s="42"/>
      <c r="C30" s="3" t="s">
        <v>1402</v>
      </c>
      <c r="D30" s="18" t="s">
        <v>1615</v>
      </c>
      <c r="E30" s="19"/>
      <c r="F30" s="15" t="s">
        <v>1616</v>
      </c>
      <c r="G30" s="15" t="s">
        <v>1617</v>
      </c>
      <c r="H30" s="12"/>
      <c r="I30" s="12"/>
      <c r="J30" s="12"/>
      <c r="K30" s="16"/>
      <c r="L30" s="7"/>
      <c r="M30" s="6" t="s">
        <v>4</v>
      </c>
      <c r="N30" s="29" t="str">
        <f t="shared" si="2"/>
        <v>string</v>
      </c>
      <c r="O30" s="29" t="str">
        <f t="shared" si="3"/>
        <v/>
      </c>
      <c r="P30" s="29"/>
      <c r="Q30" s="19"/>
      <c r="R30" s="19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>
      <c r="A31" s="42"/>
      <c r="B31" s="42"/>
      <c r="C31" s="3" t="s">
        <v>44</v>
      </c>
      <c r="D31" s="18"/>
      <c r="E31" s="19"/>
      <c r="F31" s="15"/>
      <c r="G31" s="15"/>
      <c r="H31" s="12"/>
      <c r="I31" s="12"/>
      <c r="J31" s="12"/>
      <c r="K31" s="16"/>
      <c r="L31" s="7"/>
      <c r="M31" s="6" t="s">
        <v>4</v>
      </c>
      <c r="N31" s="29" t="str">
        <f t="shared" si="0"/>
        <v>string</v>
      </c>
      <c r="O31" s="29" t="str">
        <f t="shared" si="1"/>
        <v/>
      </c>
      <c r="P31" s="29"/>
      <c r="Q31" s="19"/>
      <c r="R31" s="19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>
      <c r="A32" s="42"/>
      <c r="B32" s="42"/>
      <c r="C32" s="3" t="s">
        <v>44</v>
      </c>
      <c r="D32" s="18"/>
      <c r="E32" s="19"/>
      <c r="F32" s="15"/>
      <c r="G32" s="15"/>
      <c r="H32" s="12"/>
      <c r="I32" s="12"/>
      <c r="J32" s="12"/>
      <c r="K32" s="16"/>
      <c r="L32" s="7"/>
      <c r="M32" s="6" t="s">
        <v>4</v>
      </c>
      <c r="N32" s="29" t="str">
        <f t="shared" ref="N32" si="8">_xlfn.IFS(M32="integer","integer",M32="number","number",M32="boolean","boolean",TRUE,"string")</f>
        <v>string</v>
      </c>
      <c r="O32" s="29" t="str">
        <f t="shared" ref="O32" si="9">_xlfn.IFS(M32="date","date",M32="markdown","markdown",M32="time", "time",M32="uri","uri",M32="uuid","uuid",TRUE,"")</f>
        <v/>
      </c>
      <c r="P32" s="29" t="str">
        <f t="shared" ref="P32" si="10">_xlfn.IFS(M32="textarea","textarea",TRUE,"")</f>
        <v/>
      </c>
      <c r="Q32" s="19"/>
      <c r="R32" s="19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>
      <c r="A33" s="43" t="s">
        <v>1379</v>
      </c>
      <c r="B33" s="42" t="s">
        <v>79</v>
      </c>
      <c r="C33" s="3" t="s">
        <v>44</v>
      </c>
      <c r="D33" s="15" t="s">
        <v>34</v>
      </c>
      <c r="E33" s="19"/>
      <c r="F33" s="15" t="s">
        <v>1430</v>
      </c>
      <c r="G33" s="15" t="s">
        <v>1431</v>
      </c>
      <c r="H33" s="12"/>
      <c r="I33" s="12"/>
      <c r="J33" s="19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>
      <c r="A34" s="44"/>
      <c r="B34" s="42"/>
      <c r="C34" s="3" t="s">
        <v>44</v>
      </c>
      <c r="D34" s="15" t="s">
        <v>35</v>
      </c>
      <c r="E34" s="19"/>
      <c r="F34" s="15" t="s">
        <v>1432</v>
      </c>
      <c r="G34" s="15" t="s">
        <v>1433</v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>
      <c r="A35" s="44"/>
      <c r="B35" s="42"/>
      <c r="C35" s="3" t="s">
        <v>44</v>
      </c>
      <c r="D35" s="15" t="s">
        <v>36</v>
      </c>
      <c r="E35" s="19"/>
      <c r="F35" s="15" t="s">
        <v>1434</v>
      </c>
      <c r="G35" s="15" t="s">
        <v>1435</v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>
      <c r="A36" s="44"/>
      <c r="B36" s="42"/>
      <c r="C36" s="3" t="s">
        <v>44</v>
      </c>
      <c r="D36" s="15" t="s">
        <v>37</v>
      </c>
      <c r="E36" s="19"/>
      <c r="F36" s="15" t="s">
        <v>1436</v>
      </c>
      <c r="G36" s="15" t="s">
        <v>1437</v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>
      <c r="A37" s="44"/>
      <c r="B37" s="42"/>
      <c r="C37" s="3" t="s">
        <v>44</v>
      </c>
      <c r="D37" s="15" t="s">
        <v>38</v>
      </c>
      <c r="E37" s="19"/>
      <c r="F37" s="15" t="s">
        <v>1438</v>
      </c>
      <c r="G37" s="15" t="s">
        <v>1439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>
      <c r="A38" s="44"/>
      <c r="B38" s="42"/>
      <c r="C38" s="3" t="s">
        <v>44</v>
      </c>
      <c r="D38" s="15" t="s">
        <v>39</v>
      </c>
      <c r="E38" s="19"/>
      <c r="F38" s="15" t="s">
        <v>1440</v>
      </c>
      <c r="G38" s="15" t="s">
        <v>1441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>
      <c r="A39" s="45"/>
      <c r="B39" s="42"/>
      <c r="C39" s="3" t="s">
        <v>44</v>
      </c>
      <c r="D39" s="15" t="s">
        <v>16</v>
      </c>
      <c r="E39" s="19"/>
      <c r="F39" s="15" t="s">
        <v>1442</v>
      </c>
      <c r="G39" s="15" t="s">
        <v>1443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>
      <c r="A40" s="43" t="s">
        <v>1380</v>
      </c>
      <c r="B40" s="42" t="s">
        <v>40</v>
      </c>
      <c r="C40" s="3" t="s">
        <v>1402</v>
      </c>
      <c r="D40" s="18" t="str">
        <f>IFERROR(INDEX(sample.general_sample_term!A:H,MATCH($E40,sample.general_sample_term!C:C,FALSE),2),"")</f>
        <v>sample.general.general-name</v>
      </c>
      <c r="E40" s="14" t="s">
        <v>1274</v>
      </c>
      <c r="F40" s="18" t="str">
        <f>IFERROR(INDEX(sample.general_sample_term!A:H,MATCH($E40,sample.general_sample_term!C:C,FALSE),3),"")</f>
        <v>一般名称</v>
      </c>
      <c r="G40" s="18" t="str">
        <f>IFERROR(INDEX(sample.general_sample_term!A:H,MATCH($E40,sample.general_sample_term!C:C,FALSE),4),"")</f>
        <v>General name</v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IFERROR(INDEX(sample.general_sample_term!A:H,MATCH($E40,sample.general_sample_term!C:C,FALSE),5),"")</f>
        <v>一般名称を入力してください</v>
      </c>
      <c r="V40" s="18" t="str">
        <f>IFERROR(INDEX(sample.general_sample_term!A:H,MATCH($E40,sample.general_sample_term!C:C,FALSE),6),"")</f>
        <v>Please enter General name</v>
      </c>
      <c r="W40" s="19"/>
      <c r="X40" s="19"/>
      <c r="Y40" s="19"/>
      <c r="Z40" s="19"/>
      <c r="AA40" s="19"/>
      <c r="AB40" s="19"/>
      <c r="AC40" s="19"/>
    </row>
    <row r="41" spans="1:29">
      <c r="A41" s="44"/>
      <c r="B41" s="42"/>
      <c r="C41" s="3" t="s">
        <v>44</v>
      </c>
      <c r="D41" s="18" t="str">
        <f>IFERROR(INDEX(sample.general_sample_term!A:H,MATCH($E41,sample.general_sample_term!C:C,FALSE),2),"")</f>
        <v>sample.general.cas-number</v>
      </c>
      <c r="E41" s="14" t="s">
        <v>1160</v>
      </c>
      <c r="F41" s="18" t="str">
        <f>IFERROR(INDEX(sample.general_sample_term!A:H,MATCH($E41,sample.general_sample_term!C:C,FALSE),3),"")</f>
        <v>CAS番号</v>
      </c>
      <c r="G41" s="18" t="str">
        <f>IFERROR(INDEX(sample.general_sample_term!A:H,MATCH($E41,sample.general_sample_term!C:C,FALSE),4),"")</f>
        <v>CAS Number</v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IFERROR(INDEX(sample.general_sample_term!A:H,MATCH($E41,sample.general_sample_term!C:C,FALSE),5),"")</f>
        <v>CAS番号を入力してください</v>
      </c>
      <c r="V41" s="18" t="str">
        <f>IFERROR(INDEX(sample.general_sample_term!A:H,MATCH($E41,sample.general_sample_term!C:C,FALSE),6),"")</f>
        <v>Please enter CAS Number</v>
      </c>
      <c r="W41" s="19"/>
      <c r="X41" s="19"/>
      <c r="Y41" s="19"/>
      <c r="Z41" s="19"/>
      <c r="AA41" s="19"/>
      <c r="AB41" s="19"/>
      <c r="AC41" s="19"/>
    </row>
    <row r="42" spans="1:29">
      <c r="A42" s="44"/>
      <c r="B42" s="42"/>
      <c r="C42" s="3" t="s">
        <v>44</v>
      </c>
      <c r="D42" s="18" t="str">
        <f>IFERROR(INDEX(sample.general_sample_term!A:H,MATCH($E42,sample.general_sample_term!C:C,FALSE),2),"")</f>
        <v>sample.general.crystal-structure</v>
      </c>
      <c r="E42" s="14" t="s">
        <v>1175</v>
      </c>
      <c r="F42" s="18" t="str">
        <f>IFERROR(INDEX(sample.general_sample_term!A:H,MATCH($E42,sample.general_sample_term!C:C,FALSE),3),"")</f>
        <v>結晶構造</v>
      </c>
      <c r="G42" s="18" t="str">
        <f>IFERROR(INDEX(sample.general_sample_term!A:H,MATCH($E42,sample.general_sample_term!C:C,FALSE),4),"")</f>
        <v>Crystal structure</v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IFERROR(INDEX(sample.general_sample_term!A:H,MATCH($E42,sample.general_sample_term!C:C,FALSE),5),"")</f>
        <v>結晶構造を入力してください</v>
      </c>
      <c r="V42" s="18" t="str">
        <f>IFERROR(INDEX(sample.general_sample_term!A:H,MATCH($E42,sample.general_sample_term!C:C,FALSE),6),"")</f>
        <v>Please enter Crystal structure</v>
      </c>
      <c r="W42" s="19"/>
      <c r="X42" s="19"/>
      <c r="Y42" s="19"/>
      <c r="Z42" s="19"/>
      <c r="AA42" s="19"/>
      <c r="AB42" s="19"/>
      <c r="AC42" s="19"/>
    </row>
    <row r="43" spans="1:29">
      <c r="A43" s="44"/>
      <c r="B43" s="42"/>
      <c r="C43" s="3" t="s">
        <v>44</v>
      </c>
      <c r="D43" s="18" t="str">
        <f>IFERROR(INDEX(sample.general_sample_term!A:H,MATCH($E43,sample.general_sample_term!C:C,FALSE),2),"")</f>
        <v>sample.general.sample-shape</v>
      </c>
      <c r="E43" s="14" t="s">
        <v>1191</v>
      </c>
      <c r="F43" s="18" t="str">
        <f>IFERROR(INDEX(sample.general_sample_term!A:H,MATCH($E43,sample.general_sample_term!C:C,FALSE),3),"")</f>
        <v>試料形状</v>
      </c>
      <c r="G43" s="18" t="str">
        <f>IFERROR(INDEX(sample.general_sample_term!A:H,MATCH($E43,sample.general_sample_term!C:C,FALSE),4),"")</f>
        <v>Sample shape</v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IFERROR(INDEX(sample.general_sample_term!A:H,MATCH($E43,sample.general_sample_term!C:C,FALSE),5),"")</f>
        <v>試料形状を入力してください</v>
      </c>
      <c r="V43" s="18" t="str">
        <f>IFERROR(INDEX(sample.general_sample_term!A:H,MATCH($E43,sample.general_sample_term!C:C,FALSE),6),"")</f>
        <v>Please enter Sample shape</v>
      </c>
      <c r="W43" s="19"/>
      <c r="X43" s="19"/>
      <c r="Y43" s="19"/>
      <c r="Z43" s="19"/>
      <c r="AA43" s="19"/>
      <c r="AB43" s="19"/>
      <c r="AC43" s="19"/>
    </row>
    <row r="44" spans="1:29">
      <c r="A44" s="44"/>
      <c r="B44" s="42"/>
      <c r="C44" s="3" t="s">
        <v>44</v>
      </c>
      <c r="D44" s="18" t="str">
        <f>IFERROR(INDEX(sample.general_sample_term!A:H,MATCH($E44,sample.general_sample_term!C:C,FALSE),2),"")</f>
        <v>sample.general.purchase-date</v>
      </c>
      <c r="E44" s="14" t="s">
        <v>1165</v>
      </c>
      <c r="F44" s="18" t="str">
        <f>IFERROR(INDEX(sample.general_sample_term!A:H,MATCH($E44,sample.general_sample_term!C:C,FALSE),3),"")</f>
        <v>試料購入日</v>
      </c>
      <c r="G44" s="18" t="str">
        <f>IFERROR(INDEX(sample.general_sample_term!A:H,MATCH($E44,sample.general_sample_term!C:C,FALSE),4),"")</f>
        <v>Purchase date</v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IFERROR(INDEX(sample.general_sample_term!A:H,MATCH($E44,sample.general_sample_term!C:C,FALSE),5),"")</f>
        <v>試料購入日を入力してください</v>
      </c>
      <c r="V44" s="18" t="str">
        <f>IFERROR(INDEX(sample.general_sample_term!A:H,MATCH($E44,sample.general_sample_term!C:C,FALSE),6),"")</f>
        <v>Please enter Purchase date</v>
      </c>
      <c r="W44" s="19"/>
      <c r="X44" s="19"/>
      <c r="Y44" s="19"/>
      <c r="Z44" s="19"/>
      <c r="AA44" s="19"/>
      <c r="AB44" s="19"/>
      <c r="AC44" s="19"/>
    </row>
    <row r="45" spans="1:29">
      <c r="A45" s="44"/>
      <c r="B45" s="42"/>
      <c r="C45" s="3" t="s">
        <v>44</v>
      </c>
      <c r="D45" s="18" t="str">
        <f>IFERROR(INDEX(sample.general_sample_term!A:H,MATCH($E45,sample.general_sample_term!C:C,FALSE),2),"")</f>
        <v>sample.general.supplier</v>
      </c>
      <c r="E45" s="14" t="s">
        <v>834</v>
      </c>
      <c r="F45" s="18" t="str">
        <f>IFERROR(INDEX(sample.general_sample_term!A:H,MATCH($E45,sample.general_sample_term!C:C,FALSE),3),"")</f>
        <v>購入元</v>
      </c>
      <c r="G45" s="18" t="str">
        <f>IFERROR(INDEX(sample.general_sample_term!A:H,MATCH($E45,sample.general_sample_term!C:C,FALSE),4),"")</f>
        <v>Supplier</v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IFERROR(INDEX(sample.general_sample_term!A:H,MATCH($E45,sample.general_sample_term!C:C,FALSE),5),"")</f>
        <v/>
      </c>
      <c r="V45" s="18" t="str">
        <f>IFERROR(INDEX(sample.general_sample_term!A:H,MATCH($E45,sample.general_sample_term!C:C,FALSE),6),"")</f>
        <v/>
      </c>
      <c r="W45" s="19"/>
      <c r="X45" s="19"/>
      <c r="Y45" s="19"/>
      <c r="Z45" s="19"/>
      <c r="AA45" s="19"/>
      <c r="AB45" s="19"/>
      <c r="AC45" s="19"/>
    </row>
    <row r="46" spans="1:29">
      <c r="A46" s="44"/>
      <c r="B46" s="42"/>
      <c r="C46" s="3" t="s">
        <v>44</v>
      </c>
      <c r="D46" s="18" t="str">
        <f>IFERROR(INDEX(sample.general_sample_term!A:H,MATCH($E46,sample.general_sample_term!C:C,FALSE),2),"")</f>
        <v>sample.general.lot-number-or-product-number-etc</v>
      </c>
      <c r="E46" s="14" t="s">
        <v>1156</v>
      </c>
      <c r="F46" s="18" t="str">
        <f>IFERROR(INDEX(sample.general_sample_term!A:H,MATCH($E46,sample.general_sample_term!C:C,FALSE),3),"")</f>
        <v>ロット番号、製造番号など</v>
      </c>
      <c r="G46" s="18" t="str">
        <f>IFERROR(INDEX(sample.general_sample_term!A:H,MATCH($E46,sample.general_sample_term!C:C,FALSE),4),"")</f>
        <v>Lot number or product number etc</v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IFERROR(INDEX(sample.general_sample_term!A:H,MATCH($E46,sample.general_sample_term!C:C,FALSE),5),"")</f>
        <v/>
      </c>
      <c r="V46" s="18" t="str">
        <f>IFERROR(INDEX(sample.general_sample_term!A:H,MATCH($E46,sample.general_sample_term!C:C,FALSE),6),"")</f>
        <v/>
      </c>
      <c r="W46" s="19"/>
      <c r="X46" s="19"/>
      <c r="Y46" s="19"/>
      <c r="Z46" s="19"/>
      <c r="AA46" s="19"/>
      <c r="AB46" s="19"/>
      <c r="AC46" s="19"/>
    </row>
    <row r="47" spans="1:29">
      <c r="A47" s="44"/>
      <c r="B47" s="42"/>
      <c r="C47" s="3" t="s">
        <v>44</v>
      </c>
      <c r="D47" s="18" t="str">
        <f>IFERROR(INDEX(sample.general_sample_term!A:H,MATCH($E47,sample.general_sample_term!C:C,FALSE),2),"")</f>
        <v/>
      </c>
      <c r="E47" s="14"/>
      <c r="F47" s="18" t="str">
        <f>IFERROR(INDEX(sample.general_sample_term!A:H,MATCH($E47,sample.general_sample_term!C:C,FALSE),3),"")</f>
        <v/>
      </c>
      <c r="G47" s="18" t="str">
        <f>IFERROR(INDEX(sample.general_sample_term!A:H,MATCH($E47,sample.general_sample_term!C:C,FALSE),4),"")</f>
        <v/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IFERROR(INDEX(sample.general_sample_term!A:H,MATCH($E47,sample.general_sample_term!C:C,FALSE),5),"")</f>
        <v/>
      </c>
      <c r="V47" s="18" t="str">
        <f>IFERROR(INDEX(sample.general_sample_term!A:H,MATCH($E47,sample.general_sample_term!C:C,FALSE),6),"")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45"/>
      <c r="B48" s="42"/>
      <c r="C48" s="3" t="s">
        <v>44</v>
      </c>
      <c r="D48" s="18" t="str">
        <f>IFERROR(INDEX(sample.general_sample_term!A:H,MATCH($E48,sample.general_sample_term!C:C,FALSE),2),"")</f>
        <v/>
      </c>
      <c r="E48" s="14"/>
      <c r="F48" s="18" t="str">
        <f>IFERROR(INDEX(sample.general_sample_term!A:H,MATCH($E48,sample.general_sample_term!C:C,FALSE),3),"")</f>
        <v/>
      </c>
      <c r="G48" s="18" t="str">
        <f>IFERROR(INDEX(sample.general_sample_term!A:H,MATCH($E48,sample.general_sample_term!C:C,FALSE),4),"")</f>
        <v/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IFERROR(INDEX(sample.general_sample_term!A:H,MATCH($E48,sample.general_sample_term!C:C,FALSE),5),"")</f>
        <v/>
      </c>
      <c r="V48" s="18" t="str">
        <f>IFERROR(INDEX(sample.general_sample_term!A:H,MATCH($E48,sample.general_sample_term!C:C,FALSE),6),"")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43" t="s">
        <v>1381</v>
      </c>
      <c r="B49" s="42" t="s">
        <v>41</v>
      </c>
      <c r="C49" s="3" t="s">
        <v>44</v>
      </c>
      <c r="D49" s="18" t="str">
        <f>IFERROR(INDEX(sample.specific_sample_term!A:M,MATCH($E49,sample.specific_sample_term!L:L,FALSE),3),"")</f>
        <v/>
      </c>
      <c r="E49" s="14"/>
      <c r="F49" s="18" t="str">
        <f>IFERROR(INDEX(sample.specific_sample_term!A:M,MATCH($E49,sample.specific_sample_term!L:L,FALSE),12),"")</f>
        <v/>
      </c>
      <c r="G49" s="18" t="str">
        <f>IFERROR(INDEX(sample.specific_sample_term!A:M,MATCH($E49,sample.specific_sample_term!L:L,FALSE),13),"")</f>
        <v/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IFERROR(INDEX(sample.specific_sample_term!A:M,MATCH($E49,sample.specific_sample_term!L:L,FALSE),8),"")</f>
        <v/>
      </c>
      <c r="V49" s="18" t="str">
        <f>IFERROR(INDEX(sample.specific_sample_term!A:M,MATCH($E49,sample.specific_sample_term!L:L,FALSE),9),"")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44"/>
      <c r="B50" s="42"/>
      <c r="C50" s="3" t="s">
        <v>44</v>
      </c>
      <c r="D50" s="18" t="str">
        <f>IFERROR(INDEX(sample.specific_sample_term!A:M,MATCH($E50,sample.specific_sample_term!L:L,FALSE),3),"")</f>
        <v/>
      </c>
      <c r="E50" s="14"/>
      <c r="F50" s="18" t="str">
        <f>IFERROR(INDEX(sample.specific_sample_term!A:M,MATCH($E50,sample.specific_sample_term!L:L,FALSE),12),"")</f>
        <v/>
      </c>
      <c r="G50" s="18" t="str">
        <f>IFERROR(INDEX(sample.specific_sample_term!A:M,MATCH($E50,sample.specific_sample_term!L:L,FALSE),13),"")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IFERROR(INDEX(sample.specific_sample_term!A:M,MATCH($E50,sample.specific_sample_term!L:L,FALSE),8),"")</f>
        <v/>
      </c>
      <c r="V50" s="18" t="str">
        <f>IFERROR(INDEX(sample.specific_sample_term!A:M,MATCH($E50,sample.specific_sample_term!L:L,FALSE),9),"")</f>
        <v/>
      </c>
      <c r="W50" s="19"/>
      <c r="X50" s="19"/>
      <c r="Y50" s="19"/>
      <c r="Z50" s="19"/>
      <c r="AA50" s="19"/>
      <c r="AB50" s="19"/>
      <c r="AC50" s="19"/>
    </row>
    <row r="51" spans="1:29">
      <c r="A51" s="44"/>
      <c r="B51" s="42"/>
      <c r="C51" s="3" t="s">
        <v>44</v>
      </c>
      <c r="D51" s="18" t="str">
        <f>IFERROR(INDEX(sample.specific_sample_term!A:M,MATCH($E51,sample.specific_sample_term!L:L,FALSE),3),"")</f>
        <v/>
      </c>
      <c r="E51" s="14"/>
      <c r="F51" s="18" t="str">
        <f>IFERROR(INDEX(sample.specific_sample_term!A:M,MATCH($E51,sample.specific_sample_term!L:L,FALSE),12),"")</f>
        <v/>
      </c>
      <c r="G51" s="18" t="str">
        <f>IFERROR(INDEX(sample.specific_sample_term!A:M,MATCH($E51,sample.specific_sample_term!L:L,FALSE),13),"")</f>
        <v/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IFERROR(INDEX(sample.specific_sample_term!A:M,MATCH($E51,sample.specific_sample_term!L:L,FALSE),8),"")</f>
        <v/>
      </c>
      <c r="V51" s="18" t="str">
        <f>IFERROR(INDEX(sample.specific_sample_term!A:M,MATCH($E51,sample.specific_sample_term!L:L,FALSE),9),"")</f>
        <v/>
      </c>
      <c r="W51" s="19"/>
      <c r="X51" s="19"/>
      <c r="Y51" s="19"/>
      <c r="Z51" s="19"/>
      <c r="AA51" s="19"/>
      <c r="AB51" s="19"/>
      <c r="AC51" s="19"/>
    </row>
    <row r="52" spans="1:29">
      <c r="A52" s="44"/>
      <c r="B52" s="42"/>
      <c r="C52" s="3" t="s">
        <v>44</v>
      </c>
      <c r="D52" s="18" t="str">
        <f>IFERROR(INDEX(sample.specific_sample_term!A:M,MATCH($E52,sample.specific_sample_term!L:L,FALSE),3),"")</f>
        <v/>
      </c>
      <c r="E52" s="14"/>
      <c r="F52" s="18" t="str">
        <f>IFERROR(INDEX(sample.specific_sample_term!A:M,MATCH($E52,sample.specific_sample_term!L:L,FALSE),12),"")</f>
        <v/>
      </c>
      <c r="G52" s="18" t="str">
        <f>IFERROR(INDEX(sample.specific_sample_term!A:M,MATCH($E52,sample.specific_sample_term!L:L,FALSE),13),"")</f>
        <v/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IFERROR(INDEX(sample.specific_sample_term!A:M,MATCH($E52,sample.specific_sample_term!L:L,FALSE),8),"")</f>
        <v/>
      </c>
      <c r="V52" s="18" t="str">
        <f>IFERROR(INDEX(sample.specific_sample_term!A:M,MATCH($E52,sample.specific_sample_term!L:L,FALSE),9),"")</f>
        <v/>
      </c>
      <c r="W52" s="19"/>
      <c r="X52" s="19"/>
      <c r="Y52" s="19"/>
      <c r="Z52" s="19"/>
      <c r="AA52" s="19"/>
      <c r="AB52" s="19"/>
      <c r="AC52" s="19"/>
    </row>
    <row r="53" spans="1:29">
      <c r="A53" s="44"/>
      <c r="B53" s="42"/>
      <c r="C53" s="3" t="s">
        <v>44</v>
      </c>
      <c r="D53" s="18" t="str">
        <f>IFERROR(INDEX(sample.specific_sample_term!A:M,MATCH($E53,sample.specific_sample_term!L:L,FALSE),3),"")</f>
        <v/>
      </c>
      <c r="E53" s="14"/>
      <c r="F53" s="18" t="str">
        <f>IFERROR(INDEX(sample.specific_sample_term!A:M,MATCH($E53,sample.specific_sample_term!L:L,FALSE),12),"")</f>
        <v/>
      </c>
      <c r="G53" s="18" t="str">
        <f>IFERROR(INDEX(sample.specific_sample_term!A:M,MATCH($E53,sample.specific_sample_term!L:L,FALSE),13),"")</f>
        <v/>
      </c>
      <c r="H53" s="12"/>
      <c r="I53" s="12"/>
      <c r="J53" s="19"/>
      <c r="K53" s="17"/>
      <c r="L53" s="19"/>
      <c r="M53" s="19"/>
      <c r="N53" s="19"/>
      <c r="O53" s="19"/>
      <c r="P53" s="19"/>
      <c r="Q53" s="19"/>
      <c r="R53" s="19"/>
      <c r="S53" s="19"/>
      <c r="T53" s="19"/>
      <c r="U53" s="18" t="str">
        <f>IFERROR(INDEX(sample.specific_sample_term!A:M,MATCH($E53,sample.specific_sample_term!L:L,FALSE),8),"")</f>
        <v/>
      </c>
      <c r="V53" s="18" t="str">
        <f>IFERROR(INDEX(sample.specific_sample_term!A:M,MATCH($E53,sample.specific_sample_term!L:L,FALSE),9),"")</f>
        <v/>
      </c>
      <c r="W53" s="19"/>
      <c r="X53" s="19"/>
      <c r="Y53" s="19"/>
      <c r="Z53" s="19"/>
      <c r="AA53" s="19"/>
      <c r="AB53" s="19"/>
      <c r="AC53" s="19"/>
    </row>
    <row r="54" spans="1:29">
      <c r="A54" s="44"/>
      <c r="B54" s="42"/>
      <c r="C54" s="3" t="s">
        <v>44</v>
      </c>
      <c r="D54" s="18" t="str">
        <f>IFERROR(INDEX(sample.specific_sample_term!A:M,MATCH($E54,sample.specific_sample_term!L:L,FALSE),3),"")</f>
        <v/>
      </c>
      <c r="E54" s="14"/>
      <c r="F54" s="18" t="str">
        <f>IFERROR(INDEX(sample.specific_sample_term!A:M,MATCH($E54,sample.specific_sample_term!L:L,FALSE),12),"")</f>
        <v/>
      </c>
      <c r="G54" s="18" t="str">
        <f>IFERROR(INDEX(sample.specific_sample_term!A:M,MATCH($E54,sample.specific_sample_term!L:L,FALSE),13),"")</f>
        <v/>
      </c>
      <c r="H54" s="12"/>
      <c r="I54" s="12"/>
      <c r="J54" s="19"/>
      <c r="K54" s="17"/>
      <c r="L54" s="19"/>
      <c r="M54" s="19"/>
      <c r="N54" s="19"/>
      <c r="O54" s="19"/>
      <c r="P54" s="19"/>
      <c r="Q54" s="19"/>
      <c r="R54" s="19"/>
      <c r="S54" s="19"/>
      <c r="T54" s="19"/>
      <c r="U54" s="18" t="str">
        <f>IFERROR(INDEX(sample.specific_sample_term!A:M,MATCH($E54,sample.specific_sample_term!L:L,FALSE),8),"")</f>
        <v/>
      </c>
      <c r="V54" s="18" t="str">
        <f>IFERROR(INDEX(sample.specific_sample_term!A:M,MATCH($E54,sample.specific_sample_term!L:L,FALSE),9),"")</f>
        <v/>
      </c>
      <c r="W54" s="19"/>
      <c r="X54" s="19"/>
      <c r="Y54" s="19"/>
      <c r="Z54" s="19"/>
      <c r="AA54" s="19"/>
      <c r="AB54" s="19"/>
      <c r="AC54" s="19"/>
    </row>
    <row r="55" spans="1:29">
      <c r="A55" s="44"/>
      <c r="B55" s="42"/>
      <c r="C55" s="3" t="s">
        <v>44</v>
      </c>
      <c r="D55" s="18" t="str">
        <f>IFERROR(INDEX(sample.specific_sample_term!A:M,MATCH($E55,sample.specific_sample_term!L:L,FALSE),3),"")</f>
        <v/>
      </c>
      <c r="E55" s="14"/>
      <c r="F55" s="18" t="str">
        <f>IFERROR(INDEX(sample.specific_sample_term!A:M,MATCH($E55,sample.specific_sample_term!L:L,FALSE),12),"")</f>
        <v/>
      </c>
      <c r="G55" s="18" t="str">
        <f>IFERROR(INDEX(sample.specific_sample_term!A:M,MATCH($E55,sample.specific_sample_term!L:L,FALSE),13),"")</f>
        <v/>
      </c>
      <c r="H55" s="12"/>
      <c r="I55" s="12"/>
      <c r="J55" s="19"/>
      <c r="K55" s="17"/>
      <c r="L55" s="19"/>
      <c r="M55" s="19"/>
      <c r="N55" s="19"/>
      <c r="O55" s="19"/>
      <c r="P55" s="19"/>
      <c r="Q55" s="19"/>
      <c r="R55" s="19"/>
      <c r="S55" s="19"/>
      <c r="T55" s="19"/>
      <c r="U55" s="18" t="str">
        <f>IFERROR(INDEX(sample.specific_sample_term!A:M,MATCH($E55,sample.specific_sample_term!L:L,FALSE),8),"")</f>
        <v/>
      </c>
      <c r="V55" s="18" t="str">
        <f>IFERROR(INDEX(sample.specific_sample_term!A:M,MATCH($E55,sample.specific_sample_term!L:L,FALSE),9),"")</f>
        <v/>
      </c>
      <c r="W55" s="19"/>
      <c r="X55" s="19"/>
      <c r="Y55" s="19"/>
      <c r="Z55" s="19"/>
      <c r="AA55" s="19"/>
      <c r="AB55" s="19"/>
      <c r="AC55" s="19"/>
    </row>
    <row r="56" spans="1:29">
      <c r="A56" s="44"/>
      <c r="B56" s="42"/>
      <c r="C56" s="3" t="s">
        <v>44</v>
      </c>
      <c r="D56" s="18" t="str">
        <f>IFERROR(INDEX(sample.specific_sample_term!A:M,MATCH($E56,sample.specific_sample_term!L:L,FALSE),3),"")</f>
        <v/>
      </c>
      <c r="E56" s="14"/>
      <c r="F56" s="18" t="str">
        <f>IFERROR(INDEX(sample.specific_sample_term!A:M,MATCH($E56,sample.specific_sample_term!L:L,FALSE),12),"")</f>
        <v/>
      </c>
      <c r="G56" s="18" t="str">
        <f>IFERROR(INDEX(sample.specific_sample_term!A:M,MATCH($E56,sample.specific_sample_term!L:L,FALSE),13),"")</f>
        <v/>
      </c>
      <c r="H56" s="12"/>
      <c r="I56" s="12"/>
      <c r="J56" s="19"/>
      <c r="K56" s="17"/>
      <c r="L56" s="19"/>
      <c r="M56" s="19"/>
      <c r="N56" s="19"/>
      <c r="O56" s="19"/>
      <c r="P56" s="19"/>
      <c r="Q56" s="19"/>
      <c r="R56" s="19"/>
      <c r="S56" s="19"/>
      <c r="T56" s="19"/>
      <c r="U56" s="18" t="str">
        <f>IFERROR(INDEX(sample.specific_sample_term!A:M,MATCH($E56,sample.specific_sample_term!L:L,FALSE),8),"")</f>
        <v/>
      </c>
      <c r="V56" s="18" t="str">
        <f>IFERROR(INDEX(sample.specific_sample_term!A:M,MATCH($E56,sample.specific_sample_term!L:L,FALSE),9),"")</f>
        <v/>
      </c>
      <c r="W56" s="19"/>
      <c r="X56" s="19"/>
      <c r="Y56" s="19"/>
      <c r="Z56" s="19"/>
      <c r="AA56" s="19"/>
      <c r="AB56" s="19"/>
      <c r="AC56" s="19"/>
    </row>
    <row r="57" spans="1:29">
      <c r="A57" s="45"/>
      <c r="B57" s="42"/>
      <c r="C57" s="3" t="s">
        <v>44</v>
      </c>
      <c r="D57" s="18" t="str">
        <f>IFERROR(INDEX(sample.specific_sample_term!A:M,MATCH($E57,sample.specific_sample_term!L:L,FALSE),3),"")</f>
        <v/>
      </c>
      <c r="E57" s="14"/>
      <c r="F57" s="18" t="str">
        <f>IFERROR(INDEX(sample.specific_sample_term!A:M,MATCH($E57,sample.specific_sample_term!L:L,FALSE),12),"")</f>
        <v/>
      </c>
      <c r="G57" s="18" t="str">
        <f>IFERROR(INDEX(sample.specific_sample_term!A:M,MATCH($E57,sample.specific_sample_term!L:L,FALSE),13),"")</f>
        <v/>
      </c>
      <c r="H57" s="12"/>
      <c r="I57" s="12"/>
      <c r="J57" s="19"/>
      <c r="K57" s="17"/>
      <c r="L57" s="19"/>
      <c r="M57" s="19"/>
      <c r="N57" s="19"/>
      <c r="O57" s="19"/>
      <c r="P57" s="19"/>
      <c r="Q57" s="19"/>
      <c r="R57" s="19"/>
      <c r="S57" s="19"/>
      <c r="T57" s="19"/>
      <c r="U57" s="18" t="str">
        <f>IFERROR(INDEX(sample.specific_sample_term!A:M,MATCH($E57,sample.specific_sample_term!L:L,FALSE),8),"")</f>
        <v/>
      </c>
      <c r="V57" s="18" t="str">
        <f>IFERROR(INDEX(sample.specific_sample_term!A:M,MATCH($E57,sample.specific_sample_term!L:L,FALSE),9),"")</f>
        <v/>
      </c>
      <c r="W57" s="19"/>
      <c r="X57" s="19"/>
      <c r="Y57" s="19"/>
      <c r="Z57" s="19"/>
      <c r="AA57" s="19"/>
      <c r="AB57" s="19"/>
      <c r="AC57" s="19"/>
    </row>
  </sheetData>
  <mergeCells count="11">
    <mergeCell ref="B1:E1"/>
    <mergeCell ref="B3:E3"/>
    <mergeCell ref="A7:A32"/>
    <mergeCell ref="B40:B48"/>
    <mergeCell ref="B33:B39"/>
    <mergeCell ref="B2:E2"/>
    <mergeCell ref="B49:B57"/>
    <mergeCell ref="B7:B32"/>
    <mergeCell ref="A33:A39"/>
    <mergeCell ref="A40:A48"/>
    <mergeCell ref="A49:A57"/>
  </mergeCells>
  <phoneticPr fontId="2"/>
  <conditionalFormatting sqref="B1:E1">
    <cfRule type="expression" dxfId="21" priority="1" stopIfTrue="1">
      <formula>ISBLANK(B1)</formula>
    </cfRule>
  </conditionalFormatting>
  <conditionalFormatting sqref="C7:C57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33:D39">
    <cfRule type="expression" dxfId="18" priority="3">
      <formula>AND($C33="ON",ISBLANK(D33))</formula>
    </cfRule>
  </conditionalFormatting>
  <conditionalFormatting sqref="M7:M32 F7:G39 E40:E57">
    <cfRule type="expression" dxfId="17" priority="17">
      <formula>AND($C7="ON",ISBLANK(E7))</formula>
    </cfRule>
  </conditionalFormatting>
  <conditionalFormatting sqref="N7:O32">
    <cfRule type="cellIs" dxfId="16" priority="16" operator="equal">
      <formula>"ON"</formula>
    </cfRule>
  </conditionalFormatting>
  <conditionalFormatting sqref="Q7:Q32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32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32" xr:uid="{2D4AA448-C361-40D4-AD5E-FB8A11DF009A}">
      <formula1>"　,TRUE"</formula1>
    </dataValidation>
    <dataValidation type="list" allowBlank="1" showInputMessage="1" showErrorMessage="1" sqref="M7:M32" xr:uid="{5FE6F0C0-307E-46F0-BDAA-579DADBA61A0}">
      <formula1>"string,textarea,number,integer,list,date,markdown,time,boolean,uri,uuid"</formula1>
    </dataValidation>
    <dataValidation type="list" allowBlank="1" showInputMessage="1" showErrorMessage="1" sqref="C7:C57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E40:E48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E49:E57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https://rde.nims.go.jp/rde/dataset-templates/RDEDatasetTemplateSheet_RDE_XPS_ulvac_phi/catalog.schema.json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標準データセットテンプレートRDE_XPSのulvac_phi用RDEデータセットテンプレート: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RDEDatasetTemplateSheet_RDE_XPS_ulvac_phi:データカタログ定義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RDEDatasetTemplateSheet_RDE_XPS_ulvac_phi:data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1393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1397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1396</v>
      </c>
      <c r="H8" s="2" t="s">
        <v>1398</v>
      </c>
      <c r="I8" s="2" t="s">
        <v>1395</v>
      </c>
      <c r="J8" s="2" t="s">
        <v>1399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1428</v>
      </c>
      <c r="B9" s="3" t="s">
        <v>1402</v>
      </c>
      <c r="C9" s="10" t="s">
        <v>1403</v>
      </c>
      <c r="D9" s="10" t="s">
        <v>1404</v>
      </c>
      <c r="E9" s="10" t="s">
        <v>1405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1446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1402</v>
      </c>
      <c r="C10" s="10" t="s">
        <v>1406</v>
      </c>
      <c r="D10" s="10" t="s">
        <v>1407</v>
      </c>
      <c r="E10" s="10" t="s">
        <v>1408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1406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1402</v>
      </c>
      <c r="C11" s="10" t="s">
        <v>1410</v>
      </c>
      <c r="D11" s="10" t="s">
        <v>1409</v>
      </c>
      <c r="E11" s="10" t="s">
        <v>1411</v>
      </c>
      <c r="F11" s="7" t="s">
        <v>56</v>
      </c>
      <c r="G11" s="6" t="s">
        <v>1426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1447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1402</v>
      </c>
      <c r="C12" s="10" t="s">
        <v>1412</v>
      </c>
      <c r="D12" s="10" t="s">
        <v>1413</v>
      </c>
      <c r="E12" s="10" t="s">
        <v>1414</v>
      </c>
      <c r="F12" s="7" t="s">
        <v>56</v>
      </c>
      <c r="G12" s="6" t="s">
        <v>1426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1412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1402</v>
      </c>
      <c r="C13" s="10" t="s">
        <v>1415</v>
      </c>
      <c r="D13" s="10" t="s">
        <v>1416</v>
      </c>
      <c r="E13" s="10" t="s">
        <v>1417</v>
      </c>
      <c r="F13" s="7" t="s">
        <v>56</v>
      </c>
      <c r="G13" s="6" t="s">
        <v>1426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1415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1402</v>
      </c>
      <c r="C14" s="10" t="s">
        <v>1418</v>
      </c>
      <c r="D14" s="10" t="s">
        <v>1419</v>
      </c>
      <c r="E14" s="10" t="s">
        <v>1420</v>
      </c>
      <c r="F14" s="7" t="s">
        <v>56</v>
      </c>
      <c r="G14" s="6" t="s">
        <v>1426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1418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1402</v>
      </c>
      <c r="C15" s="10" t="s">
        <v>1421</v>
      </c>
      <c r="D15" s="10" t="s">
        <v>1422</v>
      </c>
      <c r="E15" s="10" t="s">
        <v>1423</v>
      </c>
      <c r="F15" s="7" t="s">
        <v>56</v>
      </c>
      <c r="G15" s="6" t="s">
        <v>1426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1421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1402</v>
      </c>
      <c r="C16" s="10" t="s">
        <v>1448</v>
      </c>
      <c r="D16" s="10" t="s">
        <v>1424</v>
      </c>
      <c r="E16" s="10" t="s">
        <v>1425</v>
      </c>
      <c r="F16" s="7" t="s">
        <v>56</v>
      </c>
      <c r="G16" s="6" t="s">
        <v>1426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1448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